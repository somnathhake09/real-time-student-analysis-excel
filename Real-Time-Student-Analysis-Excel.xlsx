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omna\OneDrive\project\Excel Project\"/>
    </mc:Choice>
  </mc:AlternateContent>
  <xr:revisionPtr revIDLastSave="0" documentId="13_ncr:1_{AC349AB0-8548-47AE-B873-6BE2E2E65D29}" xr6:coauthVersionLast="47" xr6:coauthVersionMax="47" xr10:uidLastSave="{00000000-0000-0000-0000-000000000000}"/>
  <bookViews>
    <workbookView xWindow="-108" yWindow="-108" windowWidth="23256" windowHeight="12456" xr2:uid="{AF8393EF-2433-4652-B41A-C0C672BDD708}"/>
  </bookViews>
  <sheets>
    <sheet name="StudentData" sheetId="1" r:id="rId1"/>
    <sheet name="Dashboard" sheetId="2" r:id="rId2"/>
  </sheets>
  <externalReferences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Z33" i="1"/>
  <c r="Z32" i="1"/>
  <c r="F53" i="1" l="1"/>
  <c r="T2" i="1"/>
  <c r="T3" i="1"/>
  <c r="V3" i="1" s="1"/>
  <c r="T4" i="1"/>
  <c r="V4" i="1" s="1"/>
  <c r="T5" i="1"/>
  <c r="V5" i="1" s="1"/>
  <c r="T6" i="1"/>
  <c r="V6" i="1" s="1"/>
  <c r="T7" i="1"/>
  <c r="V7" i="1" s="1"/>
  <c r="T8" i="1"/>
  <c r="U8" i="1" s="1"/>
  <c r="T9" i="1"/>
  <c r="U9" i="1" s="1"/>
  <c r="T10" i="1"/>
  <c r="V10" i="1" s="1"/>
  <c r="T11" i="1"/>
  <c r="V11" i="1" s="1"/>
  <c r="T12" i="1"/>
  <c r="V12" i="1" s="1"/>
  <c r="T13" i="1"/>
  <c r="V13" i="1" s="1"/>
  <c r="T14" i="1"/>
  <c r="V14" i="1" s="1"/>
  <c r="T15" i="1"/>
  <c r="V15" i="1" s="1"/>
  <c r="T16" i="1"/>
  <c r="U16" i="1" s="1"/>
  <c r="T17" i="1"/>
  <c r="U17" i="1" s="1"/>
  <c r="T18" i="1"/>
  <c r="U18" i="1" s="1"/>
  <c r="T19" i="1"/>
  <c r="V19" i="1" s="1"/>
  <c r="T20" i="1"/>
  <c r="U20" i="1" s="1"/>
  <c r="T21" i="1"/>
  <c r="V21" i="1" s="1"/>
  <c r="T22" i="1"/>
  <c r="V22" i="1" s="1"/>
  <c r="T23" i="1"/>
  <c r="U23" i="1" s="1"/>
  <c r="T24" i="1"/>
  <c r="U24" i="1" s="1"/>
  <c r="T25" i="1"/>
  <c r="U25" i="1" s="1"/>
  <c r="T26" i="1"/>
  <c r="U26" i="1" s="1"/>
  <c r="T27" i="1"/>
  <c r="V27" i="1" s="1"/>
  <c r="T28" i="1"/>
  <c r="U28" i="1" s="1"/>
  <c r="T29" i="1"/>
  <c r="V29" i="1" s="1"/>
  <c r="T30" i="1"/>
  <c r="V30" i="1" s="1"/>
  <c r="T31" i="1"/>
  <c r="V31" i="1" s="1"/>
  <c r="T32" i="1"/>
  <c r="U32" i="1" s="1"/>
  <c r="T33" i="1"/>
  <c r="U33" i="1" s="1"/>
  <c r="T34" i="1"/>
  <c r="V34" i="1" s="1"/>
  <c r="T35" i="1"/>
  <c r="V35" i="1" s="1"/>
  <c r="T36" i="1"/>
  <c r="U36" i="1" s="1"/>
  <c r="T37" i="1"/>
  <c r="V37" i="1" s="1"/>
  <c r="T38" i="1"/>
  <c r="V38" i="1" s="1"/>
  <c r="T39" i="1"/>
  <c r="U39" i="1" s="1"/>
  <c r="T40" i="1"/>
  <c r="U40" i="1" s="1"/>
  <c r="T41" i="1"/>
  <c r="U41" i="1" s="1"/>
  <c r="T42" i="1"/>
  <c r="U42" i="1" s="1"/>
  <c r="T43" i="1"/>
  <c r="V43" i="1" s="1"/>
  <c r="T44" i="1"/>
  <c r="U44" i="1" s="1"/>
  <c r="T45" i="1"/>
  <c r="V45" i="1" s="1"/>
  <c r="T46" i="1"/>
  <c r="V46" i="1" s="1"/>
  <c r="T47" i="1"/>
  <c r="V47" i="1" s="1"/>
  <c r="T48" i="1"/>
  <c r="U48" i="1" s="1"/>
  <c r="T49" i="1"/>
  <c r="U49" i="1" s="1"/>
  <c r="T50" i="1"/>
  <c r="V50" i="1" s="1"/>
  <c r="T51" i="1"/>
  <c r="V51" i="1" s="1"/>
  <c r="V2" i="1" l="1"/>
  <c r="W36" i="1"/>
  <c r="W20" i="1"/>
  <c r="W13" i="1"/>
  <c r="W12" i="1"/>
  <c r="W28" i="1"/>
  <c r="W45" i="1"/>
  <c r="W27" i="1"/>
  <c r="W4" i="1"/>
  <c r="W29" i="1"/>
  <c r="W11" i="1"/>
  <c r="W51" i="1"/>
  <c r="W5" i="1"/>
  <c r="W44" i="1"/>
  <c r="W21" i="1"/>
  <c r="W3" i="1"/>
  <c r="W35" i="1"/>
  <c r="W43" i="1"/>
  <c r="W37" i="1"/>
  <c r="W19" i="1"/>
  <c r="W50" i="1"/>
  <c r="W42" i="1"/>
  <c r="W34" i="1"/>
  <c r="W26" i="1"/>
  <c r="W18" i="1"/>
  <c r="W10" i="1"/>
  <c r="W2" i="1"/>
  <c r="W49" i="1"/>
  <c r="W41" i="1"/>
  <c r="W33" i="1"/>
  <c r="W25" i="1"/>
  <c r="W17" i="1"/>
  <c r="W9" i="1"/>
  <c r="W48" i="1"/>
  <c r="W40" i="1"/>
  <c r="W32" i="1"/>
  <c r="W24" i="1"/>
  <c r="W16" i="1"/>
  <c r="W8" i="1"/>
  <c r="B18" i="2"/>
  <c r="W47" i="1"/>
  <c r="W39" i="1"/>
  <c r="W31" i="1"/>
  <c r="W23" i="1"/>
  <c r="W15" i="1"/>
  <c r="W7" i="1"/>
  <c r="W46" i="1"/>
  <c r="W38" i="1"/>
  <c r="W30" i="1"/>
  <c r="W22" i="1"/>
  <c r="W14" i="1"/>
  <c r="W6" i="1"/>
  <c r="T53" i="1"/>
  <c r="B22" i="2" s="1"/>
  <c r="T54" i="1"/>
  <c r="G53" i="1"/>
  <c r="U34" i="1"/>
  <c r="U12" i="1"/>
  <c r="V44" i="1"/>
  <c r="V28" i="1"/>
  <c r="U31" i="1"/>
  <c r="U10" i="1"/>
  <c r="V42" i="1"/>
  <c r="V26" i="1"/>
  <c r="U50" i="1"/>
  <c r="U7" i="1"/>
  <c r="V41" i="1"/>
  <c r="V25" i="1"/>
  <c r="V9" i="1"/>
  <c r="U47" i="1"/>
  <c r="U4" i="1"/>
  <c r="V39" i="1"/>
  <c r="V23" i="1"/>
  <c r="U2" i="1"/>
  <c r="V36" i="1"/>
  <c r="V20" i="1"/>
  <c r="V18" i="1"/>
  <c r="V49" i="1"/>
  <c r="V33" i="1"/>
  <c r="V17" i="1"/>
  <c r="U15" i="1"/>
  <c r="U46" i="1"/>
  <c r="U38" i="1"/>
  <c r="U30" i="1"/>
  <c r="U22" i="1"/>
  <c r="U14" i="1"/>
  <c r="U6" i="1"/>
  <c r="V48" i="1"/>
  <c r="V40" i="1"/>
  <c r="V32" i="1"/>
  <c r="V24" i="1"/>
  <c r="V16" i="1"/>
  <c r="V8" i="1"/>
  <c r="U45" i="1"/>
  <c r="U37" i="1"/>
  <c r="U29" i="1"/>
  <c r="U21" i="1"/>
  <c r="U13" i="1"/>
  <c r="U5" i="1"/>
  <c r="U51" i="1"/>
  <c r="U43" i="1"/>
  <c r="U35" i="1"/>
  <c r="U27" i="1"/>
  <c r="U19" i="1"/>
  <c r="U11" i="1"/>
  <c r="U3" i="1"/>
  <c r="B21" i="2" l="1"/>
  <c r="B23" i="2"/>
  <c r="B25" i="2"/>
  <c r="B24" i="2"/>
  <c r="B19" i="2"/>
  <c r="V53" i="1"/>
</calcChain>
</file>

<file path=xl/sharedStrings.xml><?xml version="1.0" encoding="utf-8"?>
<sst xmlns="http://schemas.openxmlformats.org/spreadsheetml/2006/main" count="457" uniqueCount="160">
  <si>
    <t>StudentID</t>
  </si>
  <si>
    <t>Name</t>
  </si>
  <si>
    <t>Gender</t>
  </si>
  <si>
    <t>Class</t>
  </si>
  <si>
    <t>Section</t>
  </si>
  <si>
    <t>Attendance</t>
  </si>
  <si>
    <t>Assignments Avg</t>
  </si>
  <si>
    <t>Midterm Score</t>
  </si>
  <si>
    <t>Age</t>
  </si>
  <si>
    <t>Final Exam Score</t>
  </si>
  <si>
    <t>Project Score</t>
  </si>
  <si>
    <t>Participation</t>
  </si>
  <si>
    <t>Study Hours</t>
  </si>
  <si>
    <t>Extracurricular</t>
  </si>
  <si>
    <t>Parent Education</t>
  </si>
  <si>
    <t>Socio-Economic</t>
  </si>
  <si>
    <t>Final Score</t>
  </si>
  <si>
    <t>Grade</t>
  </si>
  <si>
    <t>Result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</si>
  <si>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</si>
  <si>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</si>
  <si>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</si>
  <si>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</si>
  <si>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</si>
  <si>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</si>
  <si>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</si>
  <si>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</si>
  <si>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</si>
  <si>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</si>
  <si>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</si>
  <si>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</si>
  <si>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</si>
  <si>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</si>
  <si>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</si>
  <si>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</si>
  <si>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</si>
  <si>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</si>
  <si>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</si>
  <si>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</si>
  <si>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</si>
  <si>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</si>
  <si>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</si>
  <si>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</si>
  <si>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</si>
  <si>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</si>
  <si>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</si>
  <si>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</si>
  <si>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</si>
  <si>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</si>
  <si>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</si>
  <si>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</si>
  <si>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</si>
  <si>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</si>
  <si>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</si>
  <si>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</si>
  <si>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</si>
  <si>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</si>
  <si>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</si>
  <si>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</si>
  <si>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</si>
  <si>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</si>
  <si>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</si>
  <si>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</si>
  <si>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</si>
  <si>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</si>
  <si>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</si>
  <si>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</si>
  <si>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</si>
  <si>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</si>
  <si>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Rohan Jadhav</t>
  </si>
  <si>
    <t>Manish More</t>
  </si>
  <si>
    <t>Diksha Salunke</t>
  </si>
  <si>
    <t>Somnath Hake</t>
  </si>
  <si>
    <t>Harsh Kulkarni</t>
  </si>
  <si>
    <t>Virat Singh</t>
  </si>
  <si>
    <t>Abhishek Joshi</t>
  </si>
  <si>
    <t>Sneha More</t>
  </si>
  <si>
    <t>Neha Deshmukh</t>
  </si>
  <si>
    <t>Aditya Thakur</t>
  </si>
  <si>
    <t>Siddharth Gaikwad</t>
  </si>
  <si>
    <t>Ankit Sharma</t>
  </si>
  <si>
    <t>Sanjana Gaikwad</t>
  </si>
  <si>
    <t>Aryan Pawar</t>
  </si>
  <si>
    <t>Manish Rane</t>
  </si>
  <si>
    <t>Kunal Shinde</t>
  </si>
  <si>
    <t>Kavya More</t>
  </si>
  <si>
    <t>Abhishek Sharma</t>
  </si>
  <si>
    <t>Sanjana Deshmukh</t>
  </si>
  <si>
    <t>Yash Sharma</t>
  </si>
  <si>
    <t>Siddharth Jadhav</t>
  </si>
  <si>
    <t>Riya Singh</t>
  </si>
  <si>
    <t>Yash Yadav</t>
  </si>
  <si>
    <t>Jyoti Deshmukh</t>
  </si>
  <si>
    <t>Ankit Kadam</t>
  </si>
  <si>
    <t>Pallavi Pawar</t>
  </si>
  <si>
    <t>Suresh Singh</t>
  </si>
  <si>
    <t>Ananya Chavan</t>
  </si>
  <si>
    <t>Vikram Chavan</t>
  </si>
  <si>
    <t>Sneha Kadam</t>
  </si>
  <si>
    <t>Kriti Bhosale</t>
  </si>
  <si>
    <t>Manish Kadam</t>
  </si>
  <si>
    <t>Isha Naik</t>
  </si>
  <si>
    <t>Tanvi Thakur</t>
  </si>
  <si>
    <t>Deepak Bhosale</t>
  </si>
  <si>
    <t>Harsh Pawar</t>
  </si>
  <si>
    <t>Aryan Jadhav</t>
  </si>
  <si>
    <t>Yash Kadam</t>
  </si>
  <si>
    <t>Meera Joshi</t>
  </si>
  <si>
    <t>Aditya Chavan</t>
  </si>
  <si>
    <t>Kavya Shinde</t>
  </si>
  <si>
    <t>Neha Rane</t>
  </si>
  <si>
    <t>Raj More</t>
  </si>
  <si>
    <t>Neha Chavan</t>
  </si>
  <si>
    <t>Pranav Kulkarni</t>
  </si>
  <si>
    <t>Vikram Patil</t>
  </si>
  <si>
    <t>Kriti Rane</t>
  </si>
  <si>
    <t>Suresh Sharma</t>
  </si>
  <si>
    <t>Female</t>
  </si>
  <si>
    <t>Male</t>
  </si>
  <si>
    <t>male</t>
  </si>
  <si>
    <t>9th</t>
  </si>
  <si>
    <t>10th</t>
  </si>
  <si>
    <t>A</t>
  </si>
  <si>
    <t>B</t>
  </si>
  <si>
    <t>C</t>
  </si>
  <si>
    <t>Art</t>
  </si>
  <si>
    <t>Coding</t>
  </si>
  <si>
    <t>Music</t>
  </si>
  <si>
    <t>Dance</t>
  </si>
  <si>
    <t>Sports</t>
  </si>
  <si>
    <t>None</t>
  </si>
  <si>
    <t>Post Graduate</t>
  </si>
  <si>
    <t>SSC</t>
  </si>
  <si>
    <t>HSC</t>
  </si>
  <si>
    <t>Illiterate</t>
  </si>
  <si>
    <t>Graduate</t>
  </si>
  <si>
    <t>High</t>
  </si>
  <si>
    <t>Medium</t>
  </si>
  <si>
    <t>Low</t>
  </si>
  <si>
    <t>Row Labels</t>
  </si>
  <si>
    <t>Grand Total</t>
  </si>
  <si>
    <t>Average of Final Score</t>
  </si>
  <si>
    <t>Column Labels</t>
  </si>
  <si>
    <t>Fail</t>
  </si>
  <si>
    <t>Pass</t>
  </si>
  <si>
    <t>Count of Name</t>
  </si>
  <si>
    <t>Average of Attendance</t>
  </si>
  <si>
    <t>D</t>
  </si>
  <si>
    <t>F</t>
  </si>
  <si>
    <t>Count of Grade</t>
  </si>
  <si>
    <t>At-Risk</t>
  </si>
  <si>
    <t>Overall Average Score:</t>
  </si>
  <si>
    <t>Total At-Risk Students:</t>
  </si>
  <si>
    <t>VLOOKUP :</t>
  </si>
  <si>
    <t>XLOOKUP :</t>
  </si>
  <si>
    <t>First Name</t>
  </si>
  <si>
    <t>Last Name</t>
  </si>
  <si>
    <t>Study Status</t>
  </si>
  <si>
    <t>Top 5 Performers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</si>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</sst>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[REAL-TIME_STUDENT_ANALYSIS_PROJECT.xlsx]StudentData!PivotTable1</c:name>
    <c:fmtId val="20"/>
  </c:pivotSource>
  <c:chart>
    <c:title>
      <c:layout>
        <c:manualLayout>
          <c:xMode val="edge"/>
          <c:yMode val="edge"/>
          <c:x val="0.42861111111111116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StudentData!$Z$7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StudentData!$Y$8:$Y$10</c:f>
              <c:strCache>
                <c:ptCount val="2"/>
                <c:pt idx="0">
                  <c:v>10th</c:v>
                </c:pt>
                <c:pt idx="1">
                  <c:v>9th</c:v>
                </c:pt>
              </c:strCache>
            </c:strRef>
          </c:cat>
          <c:val>
            <c:numRef>
              <c:f>StudentData!$Z$8:$Z$10</c:f>
              <c:numCache>
                <c:formatCode>General</c:formatCode>
                <c:ptCount val="2"/>
                <c:pt idx="0">
                  <c:v>65.205833333333345</c:v>
                </c:pt>
                <c:pt idx="1">
                  <c:v>66.813461538461539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D-4C13-81D0-3B82F0A31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0853999"/>
        <c:axId val="597216495"/>
      </c:barChart>
      <c:catAx>
        <c:axId val="7308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216495"/>
        <c:crosses val="autoZero"/>
        <c:auto val="1"/>
        <c:lblAlgn val="ctr"/>
        <c:lblOffset val="100"/>
        <c:noMultiLvlLbl val="0"/>
      </c:catAx>
      <c:valAx>
        <c:axId val="5972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8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[REAL-TIME_STUDENT_ANALYSIS_PROJECT.xlsx]StudentData!PivotTable3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StudentData!$Z$19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5-4101-9A18-A9268AA9D2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65-4101-9A18-A9268AA9D2DA}"/>
              </c:ext>
            </c:extLst>
          </c:dPt>
          <c:cat>
            <c:strRef>
              <c:f>StudentData!$Y$20:$Y$22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StudentData!$Z$20:$Z$22</c:f>
              <c:numCache>
                <c:formatCode>General</c:formatCode>
                <c:ptCount val="2"/>
                <c:pt idx="0">
                  <c:v>74.66</c:v>
                </c:pt>
                <c:pt idx="1">
                  <c:v>69.076666666666668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65-4101-9A18-A9268AA9D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[REAL-TIME_STUDENT_ANALYSIS_PROJECT.xlsx]StudentData!PivotTable2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StudentData!$Z$12:$Z$13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StudentData!$Y$14:$Y$17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StudentData!$Z$14:$Z$17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8-4BE4-BF83-8F9A5ED71F20}"/>
            </c:ext>
          </c:extLst>
        </c:ser>
        <c:ser>
          <c:idx val="1"/>
          <c:order val="1"/>
          <c:tx>
            <c:strRef>
              <c:f>StudentData!$AA$12:$AA$13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StudentData!$Y$14:$Y$17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StudentData!$AA$14:$AA$17</c:f>
              <c:numCache>
                <c:formatCode>General</c:formatCode>
                <c:ptCount val="3"/>
                <c:pt idx="0">
                  <c:v>22</c:v>
                </c:pt>
                <c:pt idx="1">
                  <c:v>14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E8-4BE4-BF83-8F9A5ED71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586735"/>
        <c:axId val="1049054159"/>
      </c:barChart>
      <c:catAx>
        <c:axId val="107158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054159"/>
        <c:crosses val="autoZero"/>
        <c:auto val="1"/>
        <c:lblAlgn val="ctr"/>
        <c:lblOffset val="100"/>
        <c:noMultiLvlLbl val="0"/>
      </c:catAx>
      <c:valAx>
        <c:axId val="104905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58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38100</xdr:rowOff>
    </xdr:from>
    <xdr:to>
      <xdr:col>7</xdr:col>
      <xdr:colOff>312420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AFB0E-3F13-4D9E-A0B4-6879B864D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129540</xdr:colOff>
      <xdr:row>0</xdr:row>
      <xdr:rowOff>30480</xdr:rowOff>
    </xdr:from>
    <xdr:to>
      <xdr:col>15</xdr:col>
      <xdr:colOff>434340</xdr:colOff>
      <xdr:row>15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F72FAB-945A-4E8D-9051-0EF716F79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266700</xdr:colOff>
      <xdr:row>17</xdr:row>
      <xdr:rowOff>7620</xdr:rowOff>
    </xdr:from>
    <xdr:to>
      <xdr:col>11</xdr:col>
      <xdr:colOff>571500</xdr:colOff>
      <xdr:row>32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BCF08C-A3C8-41D2-9410-43D654276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omna\AppData\Roaming\Microsoft\Excel\REAL-TIME_STUDENT_ANALYSIS_PROJECT%20(version%201).xlsb" TargetMode="External"/><Relationship Id="rId1" Type="http://schemas.openxmlformats.org/officeDocument/2006/relationships/externalLinkPath" Target="file:///C:\Users\somna\AppData\Roaming\Microsoft\Excel\REAL-TIME_STUDENT_ANALYSIS_PROJECT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udentData"/>
      <sheetName val="Dashboard"/>
      <sheetName val="REAL-TIME_STUDENT_ANALYSIS_PROJ"/>
    </sheetNames>
    <sheetDataSet>
      <sheetData sheetId="0">
        <row r="1">
          <cell r="B1" t="str">
            <v>Name</v>
          </cell>
          <cell r="S1" t="str">
            <v>Final Score</v>
          </cell>
        </row>
        <row r="2">
          <cell r="B2" t="str">
            <v>Diksha Salunke</v>
          </cell>
          <cell r="S2">
            <v>85.925000000000011</v>
          </cell>
        </row>
        <row r="3">
          <cell r="B3" t="str">
            <v>Somnath Hake</v>
          </cell>
          <cell r="S3">
            <v>80.705000000000013</v>
          </cell>
        </row>
        <row r="4">
          <cell r="B4" t="str">
            <v>Manish More</v>
          </cell>
          <cell r="S4">
            <v>57.055000000000007</v>
          </cell>
        </row>
        <row r="5">
          <cell r="B5" t="str">
            <v>Rohan Jadhav</v>
          </cell>
          <cell r="S5">
            <v>58.58</v>
          </cell>
        </row>
        <row r="6">
          <cell r="B6" t="str">
            <v>Harsh Kulkarni</v>
          </cell>
          <cell r="S6">
            <v>59.525000000000013</v>
          </cell>
        </row>
        <row r="7">
          <cell r="B7" t="str">
            <v>Virat Singh</v>
          </cell>
          <cell r="S7">
            <v>69.34</v>
          </cell>
        </row>
        <row r="8">
          <cell r="B8" t="str">
            <v>Abhishek Joshi</v>
          </cell>
          <cell r="S8">
            <v>56.99</v>
          </cell>
        </row>
        <row r="9">
          <cell r="B9" t="str">
            <v>Sneha More</v>
          </cell>
          <cell r="S9">
            <v>57.035000000000004</v>
          </cell>
        </row>
        <row r="10">
          <cell r="B10" t="str">
            <v>Neha Deshmukh</v>
          </cell>
          <cell r="S10">
            <v>67.515000000000001</v>
          </cell>
        </row>
        <row r="11">
          <cell r="B11" t="str">
            <v>Aditya Thakur</v>
          </cell>
          <cell r="S11">
            <v>76.975000000000009</v>
          </cell>
        </row>
        <row r="12">
          <cell r="B12" t="str">
            <v>Siddharth Gaikwad</v>
          </cell>
          <cell r="S12">
            <v>31.96</v>
          </cell>
        </row>
        <row r="13">
          <cell r="B13" t="str">
            <v>Ankit Sharma</v>
          </cell>
          <cell r="S13">
            <v>60.865000000000002</v>
          </cell>
        </row>
        <row r="14">
          <cell r="B14" t="str">
            <v>Sanjana Gaikwad</v>
          </cell>
          <cell r="S14">
            <v>62.675000000000011</v>
          </cell>
        </row>
        <row r="15">
          <cell r="B15" t="str">
            <v>Aryan Pawar</v>
          </cell>
          <cell r="S15">
            <v>53.72</v>
          </cell>
        </row>
        <row r="16">
          <cell r="B16" t="str">
            <v>Sneha Kadam</v>
          </cell>
          <cell r="S16">
            <v>75.795000000000002</v>
          </cell>
        </row>
        <row r="17">
          <cell r="B17" t="str">
            <v>Manish Rane</v>
          </cell>
          <cell r="S17">
            <v>80.894999999999996</v>
          </cell>
        </row>
        <row r="18">
          <cell r="B18" t="str">
            <v>Kunal Shinde</v>
          </cell>
          <cell r="S18">
            <v>62.265000000000001</v>
          </cell>
        </row>
        <row r="19">
          <cell r="B19" t="str">
            <v>Kavya More</v>
          </cell>
          <cell r="S19">
            <v>73.435000000000002</v>
          </cell>
        </row>
        <row r="20">
          <cell r="B20" t="str">
            <v>Abhishek Sharma</v>
          </cell>
          <cell r="S20">
            <v>60.33</v>
          </cell>
        </row>
        <row r="21">
          <cell r="B21" t="str">
            <v>Sanjana Deshmukh</v>
          </cell>
          <cell r="S21">
            <v>63.915000000000006</v>
          </cell>
        </row>
        <row r="22">
          <cell r="B22" t="str">
            <v>Yash Sharma</v>
          </cell>
          <cell r="S22">
            <v>81.245000000000005</v>
          </cell>
        </row>
        <row r="23">
          <cell r="B23" t="str">
            <v>Siddharth Jadhav</v>
          </cell>
          <cell r="S23">
            <v>72.954999999999998</v>
          </cell>
        </row>
        <row r="24">
          <cell r="B24" t="str">
            <v>Riya Singh</v>
          </cell>
          <cell r="S24">
            <v>69.790000000000006</v>
          </cell>
        </row>
        <row r="25">
          <cell r="B25" t="str">
            <v>Yash Yadav</v>
          </cell>
          <cell r="S25">
            <v>74.22999999999999</v>
          </cell>
        </row>
        <row r="26">
          <cell r="B26" t="str">
            <v>Jyoti Deshmukh</v>
          </cell>
          <cell r="S26">
            <v>61.465000000000003</v>
          </cell>
        </row>
        <row r="27">
          <cell r="B27" t="str">
            <v>Ankit Kadam</v>
          </cell>
          <cell r="S27">
            <v>46.075000000000003</v>
          </cell>
        </row>
        <row r="28">
          <cell r="B28" t="str">
            <v>Pallavi Pawar</v>
          </cell>
          <cell r="S28">
            <v>64.335000000000008</v>
          </cell>
        </row>
        <row r="29">
          <cell r="B29" t="str">
            <v>Suresh Singh</v>
          </cell>
          <cell r="S29">
            <v>48.254999999999995</v>
          </cell>
        </row>
        <row r="30">
          <cell r="B30" t="str">
            <v>Ananya Chavan</v>
          </cell>
          <cell r="S30">
            <v>58.865000000000009</v>
          </cell>
        </row>
        <row r="31">
          <cell r="B31" t="str">
            <v>Vikram Chavan</v>
          </cell>
          <cell r="S31">
            <v>43.865000000000002</v>
          </cell>
        </row>
        <row r="32">
          <cell r="B32" t="str">
            <v>Sneha Kadam</v>
          </cell>
          <cell r="S32">
            <v>80.36</v>
          </cell>
        </row>
        <row r="33">
          <cell r="B33" t="str">
            <v>Kriti Bhosale</v>
          </cell>
          <cell r="S33">
            <v>54.625</v>
          </cell>
        </row>
        <row r="34">
          <cell r="B34" t="str">
            <v>Manish Kadam</v>
          </cell>
          <cell r="S34">
            <v>63.805000000000007</v>
          </cell>
        </row>
        <row r="35">
          <cell r="B35" t="str">
            <v>Isha Naik</v>
          </cell>
          <cell r="S35">
            <v>82.3</v>
          </cell>
        </row>
        <row r="36">
          <cell r="B36" t="str">
            <v>Tanvi Thakur</v>
          </cell>
          <cell r="S36">
            <v>76.319999999999993</v>
          </cell>
        </row>
        <row r="37">
          <cell r="B37" t="str">
            <v>Deepak Bhosale</v>
          </cell>
          <cell r="S37">
            <v>73.960000000000008</v>
          </cell>
        </row>
        <row r="38">
          <cell r="B38" t="str">
            <v>Harsh Pawar</v>
          </cell>
          <cell r="S38">
            <v>74.394999999999996</v>
          </cell>
        </row>
        <row r="39">
          <cell r="B39" t="str">
            <v>Aryan Jadhav</v>
          </cell>
          <cell r="S39">
            <v>67.905000000000001</v>
          </cell>
        </row>
        <row r="40">
          <cell r="B40" t="str">
            <v>Yash Kadam</v>
          </cell>
          <cell r="S40">
            <v>62.410000000000011</v>
          </cell>
        </row>
        <row r="41">
          <cell r="B41" t="str">
            <v>Meera Joshi</v>
          </cell>
          <cell r="S41">
            <v>75.025000000000006</v>
          </cell>
        </row>
        <row r="42">
          <cell r="B42" t="str">
            <v>Aditya Chavan</v>
          </cell>
          <cell r="S42">
            <v>56.89</v>
          </cell>
        </row>
        <row r="43">
          <cell r="B43" t="str">
            <v>Kavya Shinde</v>
          </cell>
          <cell r="S43">
            <v>56.55</v>
          </cell>
        </row>
        <row r="44">
          <cell r="B44" t="str">
            <v>Neha Rane</v>
          </cell>
          <cell r="S44">
            <v>76.675000000000011</v>
          </cell>
        </row>
        <row r="45">
          <cell r="B45" t="str">
            <v>Raj More</v>
          </cell>
          <cell r="S45">
            <v>61.314999999999998</v>
          </cell>
        </row>
        <row r="46">
          <cell r="B46" t="str">
            <v>Neha Chavan</v>
          </cell>
          <cell r="S46">
            <v>59.63000000000001</v>
          </cell>
        </row>
        <row r="47">
          <cell r="B47" t="str">
            <v>Pranav Kulkarni</v>
          </cell>
          <cell r="S47">
            <v>57.800000000000004</v>
          </cell>
        </row>
        <row r="48">
          <cell r="B48" t="str">
            <v>Vikram Patil</v>
          </cell>
          <cell r="S48">
            <v>73.254999999999995</v>
          </cell>
        </row>
        <row r="49">
          <cell r="B49" t="str">
            <v>Kriti Rane</v>
          </cell>
          <cell r="S49">
            <v>70.965000000000003</v>
          </cell>
        </row>
        <row r="50">
          <cell r="B50" t="str">
            <v>Aditya Thakur</v>
          </cell>
          <cell r="S50">
            <v>83.3</v>
          </cell>
        </row>
        <row r="51">
          <cell r="B51" t="str">
            <v>Suresh Sharma</v>
          </cell>
          <cell r="S51">
            <v>78.025000000000006</v>
          </cell>
        </row>
        <row r="53">
          <cell r="S53">
            <v>85.925000000000011</v>
          </cell>
        </row>
        <row r="54">
          <cell r="S54">
            <v>31.96</v>
          </cell>
        </row>
      </sheetData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mnath hake" refreshedDate="46291.636909606481" createdVersion="8" refreshedVersion="8" minRefreshableVersion="3" recordCount="50" xr:uid="{CBFF6A6D-3383-499C-9151-5B55F1E47A2E}">
  <cacheSource type="worksheet">
    <worksheetSource name="Table1"/>
  </cacheSource>
  <cacheFields count="20">
    <cacheField name="StudentID" numFmtId="0">
      <sharedItems/>
    </cacheField>
    <cacheField name="Name" numFmtId="0">
      <sharedItems/>
    </cacheField>
    <cacheField name="Clean Name" numFmtId="0">
      <sharedItems/>
    </cacheField>
    <cacheField name="Age" numFmtId="0">
      <sharedItems containsSemiMixedTypes="0" containsString="0" containsNumber="1" containsInteger="1" minValue="15" maxValue="18"/>
    </cacheField>
    <cacheField name="Gender" numFmtId="0">
      <sharedItems count="2">
        <s v="Female"/>
        <s v="Male"/>
      </sharedItems>
    </cacheField>
    <cacheField name="Class" numFmtId="0">
      <sharedItems count="2">
        <s v="9th"/>
        <s v="10th"/>
      </sharedItems>
    </cacheField>
    <cacheField name="Section" numFmtId="0">
      <sharedItems count="3">
        <s v="A"/>
        <s v="B"/>
        <s v="C"/>
      </sharedItems>
    </cacheField>
    <cacheField name="Attendance" numFmtId="0">
      <sharedItems containsSemiMixedTypes="0" containsString="0" containsNumber="1" minValue="36.5" maxValue="95.5" count="43">
        <n v="86.7"/>
        <n v="80.3"/>
        <n v="66.400000000000006"/>
        <n v="91.8"/>
        <n v="71.3"/>
        <n v="76.5"/>
        <n v="92"/>
        <n v="67.599999999999994"/>
        <n v="68.900000000000006"/>
        <n v="75.400000000000006"/>
        <n v="65.7"/>
        <n v="83.8"/>
        <n v="75.099999999999994"/>
        <n v="67"/>
        <n v="92.2"/>
        <n v="79.900000000000006"/>
        <n v="95.5"/>
        <n v="94.9"/>
        <n v="61.8"/>
        <n v="85"/>
        <n v="51.3"/>
        <n v="50.7"/>
        <n v="56.9"/>
        <n v="36.5"/>
        <n v="82.7"/>
        <n v="92.8"/>
        <n v="67.3"/>
        <n v="52.7"/>
        <n v="54.3"/>
        <n v="37.799999999999997"/>
        <n v="88.6"/>
        <n v="51.6"/>
        <n v="76"/>
        <n v="58.4"/>
        <n v="93.8"/>
        <n v="55.3"/>
        <n v="47"/>
        <n v="74.7"/>
        <n v="54.5"/>
        <n v="68.3"/>
        <n v="60.5"/>
        <n v="68.2"/>
        <n v="89.5"/>
      </sharedItems>
    </cacheField>
    <cacheField name="Assignments Avg" numFmtId="0">
      <sharedItems containsSemiMixedTypes="0" containsString="0" containsNumber="1" minValue="25.2" maxValue="92.2"/>
    </cacheField>
    <cacheField name="Midterm Score" numFmtId="0">
      <sharedItems containsSemiMixedTypes="0" containsString="0" containsNumber="1" minValue="25.2" maxValue="94.2"/>
    </cacheField>
    <cacheField name="Final Exam Score" numFmtId="0">
      <sharedItems containsSemiMixedTypes="0" containsString="0" containsNumber="1" minValue="25.2" maxValue="95.5"/>
    </cacheField>
    <cacheField name="Project Score" numFmtId="0">
      <sharedItems containsSemiMixedTypes="0" containsString="0" containsNumber="1" minValue="44.5" maxValue="94.3"/>
    </cacheField>
    <cacheField name="Participation" numFmtId="0">
      <sharedItems containsSemiMixedTypes="0" containsString="0" containsNumber="1" containsInteger="1" minValue="1" maxValue="10"/>
    </cacheField>
    <cacheField name="Study Hours" numFmtId="0">
      <sharedItems containsSemiMixedTypes="0" containsString="0" containsNumber="1" minValue="1.4" maxValue="7.6"/>
    </cacheField>
    <cacheField name="Extracurricular" numFmtId="0">
      <sharedItems/>
    </cacheField>
    <cacheField name="Parent Education" numFmtId="0">
      <sharedItems/>
    </cacheField>
    <cacheField name="Socio-Economic" numFmtId="0">
      <sharedItems/>
    </cacheField>
    <cacheField name="Final Score" numFmtId="0">
      <sharedItems containsSemiMixedTypes="0" containsString="0" containsNumber="1" minValue="31.96" maxValue="85.925000000000011"/>
    </cacheField>
    <cacheField name="Grade" numFmtId="0">
      <sharedItems count="5">
        <s v="A"/>
        <s v="D"/>
        <s v="C"/>
        <s v="B"/>
        <s v="F"/>
      </sharedItems>
    </cacheField>
    <cacheField name="Result" numFmtId="0">
      <sharedItems count="2">
        <s v="Pass"/>
        <s v="Fa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S1001"/>
    <s v="Diksha Salunke"/>
    <s v="Diksha Salunke"/>
    <n v="17"/>
    <x v="0"/>
    <x v="0"/>
    <x v="0"/>
    <x v="0"/>
    <n v="92.2"/>
    <n v="90"/>
    <n v="89.5"/>
    <n v="94.3"/>
    <n v="10"/>
    <n v="6.8"/>
    <s v="Art"/>
    <s v="Post Graduate"/>
    <s v="High"/>
    <n v="85.925000000000011"/>
    <x v="0"/>
    <x v="0"/>
  </r>
  <r>
    <s v="S1002"/>
    <s v="Somnath Hake"/>
    <s v="Somnath Hake"/>
    <n v="17"/>
    <x v="1"/>
    <x v="0"/>
    <x v="1"/>
    <x v="1"/>
    <n v="92.2"/>
    <n v="94.2"/>
    <n v="75.099999999999994"/>
    <n v="94.3"/>
    <n v="10"/>
    <n v="6.8"/>
    <s v="Coding"/>
    <s v="Post Graduate"/>
    <s v="Medium"/>
    <n v="80.705000000000013"/>
    <x v="0"/>
    <x v="0"/>
  </r>
  <r>
    <s v="S1003"/>
    <s v="Manish More"/>
    <s v="Manish More"/>
    <n v="16"/>
    <x v="1"/>
    <x v="1"/>
    <x v="0"/>
    <x v="2"/>
    <n v="83.8"/>
    <n v="36.200000000000003"/>
    <n v="68.900000000000006"/>
    <n v="68.099999999999994"/>
    <n v="3"/>
    <n v="4.9000000000000004"/>
    <s v="Music"/>
    <s v="HSC"/>
    <s v="Low"/>
    <n v="57.055000000000007"/>
    <x v="1"/>
    <x v="0"/>
  </r>
  <r>
    <s v="S1004"/>
    <s v="Rohan Jadhav"/>
    <s v="Rohan Jadhav"/>
    <n v="15"/>
    <x v="1"/>
    <x v="1"/>
    <x v="2"/>
    <x v="3"/>
    <n v="83.8"/>
    <n v="87.4"/>
    <n v="36.200000000000003"/>
    <n v="76.900000000000006"/>
    <n v="5"/>
    <n v="1.6"/>
    <s v="Dance"/>
    <s v="Illiterate"/>
    <s v="Low"/>
    <n v="58.58"/>
    <x v="1"/>
    <x v="0"/>
  </r>
  <r>
    <s v="S1005"/>
    <s v="Harsh Kulkarni"/>
    <s v="Harsh Kulkarni"/>
    <n v="15"/>
    <x v="1"/>
    <x v="0"/>
    <x v="0"/>
    <x v="4"/>
    <n v="79.900000000000006"/>
    <n v="25.2"/>
    <n v="79.900000000000006"/>
    <n v="80.2"/>
    <n v="7"/>
    <n v="2.8"/>
    <s v="Coding"/>
    <s v="SSC"/>
    <s v="High"/>
    <n v="59.525000000000013"/>
    <x v="1"/>
    <x v="0"/>
  </r>
  <r>
    <s v="S1006"/>
    <s v="Virat Singh"/>
    <s v="Virat Singh"/>
    <n v="16"/>
    <x v="1"/>
    <x v="0"/>
    <x v="1"/>
    <x v="5"/>
    <n v="68.900000000000006"/>
    <n v="76.599999999999994"/>
    <n v="68.2"/>
    <n v="87.8"/>
    <n v="9"/>
    <n v="1.7"/>
    <s v="Sports"/>
    <s v="Post Graduate"/>
    <s v="Medium"/>
    <n v="69.34"/>
    <x v="2"/>
    <x v="0"/>
  </r>
  <r>
    <s v="S1007"/>
    <s v="Abhishek Joshi"/>
    <s v="Abhishek Joshi"/>
    <n v="17"/>
    <x v="1"/>
    <x v="1"/>
    <x v="2"/>
    <x v="6"/>
    <n v="68.2"/>
    <n v="70"/>
    <n v="47"/>
    <n v="80.2"/>
    <n v="6"/>
    <n v="4.9000000000000004"/>
    <s v="Sports"/>
    <s v="SSC"/>
    <s v="High"/>
    <n v="56.99"/>
    <x v="1"/>
    <x v="0"/>
  </r>
  <r>
    <s v="S1008"/>
    <s v="Sneha More"/>
    <s v="Sneha More"/>
    <n v="17"/>
    <x v="0"/>
    <x v="1"/>
    <x v="0"/>
    <x v="7"/>
    <n v="75.099999999999994"/>
    <n v="45.8"/>
    <n v="68.900000000000006"/>
    <n v="47.8"/>
    <n v="4"/>
    <n v="2.9"/>
    <s v="Art"/>
    <s v="SSC"/>
    <s v="Medium"/>
    <n v="57.035000000000004"/>
    <x v="1"/>
    <x v="0"/>
  </r>
  <r>
    <s v="S1009"/>
    <s v="Neha Deshmukh"/>
    <s v="Neha Deshmukh"/>
    <n v="17"/>
    <x v="0"/>
    <x v="0"/>
    <x v="1"/>
    <x v="8"/>
    <n v="66.400000000000006"/>
    <n v="51.6"/>
    <n v="89.5"/>
    <n v="51.2"/>
    <n v="5"/>
    <n v="4.9000000000000004"/>
    <s v="Coding"/>
    <s v="HSC"/>
    <s v="Low"/>
    <n v="67.515000000000001"/>
    <x v="2"/>
    <x v="0"/>
  </r>
  <r>
    <s v="S1010"/>
    <s v="Aditya Thakur"/>
    <s v="Aditya Thakur"/>
    <n v="16"/>
    <x v="1"/>
    <x v="0"/>
    <x v="0"/>
    <x v="9"/>
    <n v="89.5"/>
    <n v="76.5"/>
    <n v="79.900000000000006"/>
    <n v="91.2"/>
    <n v="1"/>
    <n v="4.9000000000000004"/>
    <s v="Music"/>
    <s v="Graduate"/>
    <s v="High"/>
    <n v="76.975000000000009"/>
    <x v="3"/>
    <x v="0"/>
  </r>
  <r>
    <s v="S1011"/>
    <s v="Siddharth Gaikwad"/>
    <s v="Siddharth Gaikwad"/>
    <n v="15"/>
    <x v="1"/>
    <x v="1"/>
    <x v="2"/>
    <x v="10"/>
    <n v="47"/>
    <n v="36.200000000000003"/>
    <n v="25.2"/>
    <n v="50.6"/>
    <n v="7"/>
    <n v="3.7"/>
    <s v="Dance"/>
    <s v="Post Graduate"/>
    <s v="Medium"/>
    <n v="31.96"/>
    <x v="4"/>
    <x v="1"/>
  </r>
  <r>
    <s v="S1012"/>
    <s v="Ankit Sharma"/>
    <s v="Ankit Sharma"/>
    <n v="17"/>
    <x v="1"/>
    <x v="1"/>
    <x v="0"/>
    <x v="11"/>
    <n v="66.400000000000006"/>
    <n v="67.3"/>
    <n v="60.5"/>
    <n v="68.099999999999994"/>
    <n v="3"/>
    <n v="2.7"/>
    <s v="Coding"/>
    <s v="Illiterate"/>
    <s v="Low"/>
    <n v="60.865000000000002"/>
    <x v="2"/>
    <x v="0"/>
  </r>
  <r>
    <s v="S1013"/>
    <s v="Sanjana Gaikwad"/>
    <s v="Sanjana Gaikwad"/>
    <n v="16"/>
    <x v="0"/>
    <x v="0"/>
    <x v="1"/>
    <x v="12"/>
    <n v="36.5"/>
    <n v="51.6"/>
    <n v="76.5"/>
    <n v="91.2"/>
    <n v="3"/>
    <n v="7.5"/>
    <s v="Sports"/>
    <s v="Post Graduate"/>
    <s v="Low"/>
    <n v="62.675000000000011"/>
    <x v="2"/>
    <x v="0"/>
  </r>
  <r>
    <s v="S1014"/>
    <s v="Aryan Pawar"/>
    <s v="Aryan Pawar"/>
    <n v="15"/>
    <x v="1"/>
    <x v="0"/>
    <x v="2"/>
    <x v="13"/>
    <n v="50.7"/>
    <n v="33.9"/>
    <n v="68.2"/>
    <n v="77.900000000000006"/>
    <n v="5"/>
    <n v="4.9000000000000004"/>
    <s v="Sports"/>
    <s v="Post Graduate"/>
    <s v="High"/>
    <n v="53.72"/>
    <x v="1"/>
    <x v="0"/>
  </r>
  <r>
    <s v="S1015"/>
    <s v="Sneha Kadam"/>
    <s v="Sneha Kadam"/>
    <n v="16"/>
    <x v="0"/>
    <x v="1"/>
    <x v="0"/>
    <x v="14"/>
    <n v="76.5"/>
    <n v="74.400000000000006"/>
    <n v="86.7"/>
    <n v="68.099999999999994"/>
    <n v="7"/>
    <n v="2.6"/>
    <s v="None"/>
    <s v="HSC"/>
    <s v="Medium"/>
    <n v="75.795000000000002"/>
    <x v="3"/>
    <x v="0"/>
  </r>
  <r>
    <s v="S1016"/>
    <s v="Manish Rane"/>
    <s v="Manish Rane"/>
    <n v="16"/>
    <x v="1"/>
    <x v="1"/>
    <x v="1"/>
    <x v="15"/>
    <n v="68.900000000000006"/>
    <n v="85"/>
    <n v="89.5"/>
    <n v="82.3"/>
    <n v="9"/>
    <n v="1.5"/>
    <s v="Coding"/>
    <s v="Illiterate"/>
    <s v="High"/>
    <n v="80.894999999999996"/>
    <x v="0"/>
    <x v="0"/>
  </r>
  <r>
    <s v="S1017"/>
    <s v="Kunal Shinde"/>
    <s v="Kunal Shinde"/>
    <n v="17"/>
    <x v="1"/>
    <x v="0"/>
    <x v="0"/>
    <x v="16"/>
    <n v="44.5"/>
    <n v="45.8"/>
    <n v="86.7"/>
    <n v="50.6"/>
    <n v="6"/>
    <n v="4.9000000000000004"/>
    <s v="Music"/>
    <s v="SSC"/>
    <s v="Medium"/>
    <n v="62.265000000000001"/>
    <x v="2"/>
    <x v="0"/>
  </r>
  <r>
    <s v="S1018"/>
    <s v="Kavya More"/>
    <s v="Kavya More"/>
    <n v="15"/>
    <x v="0"/>
    <x v="0"/>
    <x v="2"/>
    <x v="17"/>
    <n v="25.2"/>
    <n v="76.5"/>
    <n v="89.5"/>
    <n v="76.900000000000006"/>
    <n v="4"/>
    <n v="3"/>
    <s v="Dance"/>
    <s v="Post Graduate"/>
    <s v="Low"/>
    <n v="73.435000000000002"/>
    <x v="3"/>
    <x v="0"/>
  </r>
  <r>
    <s v="S1019"/>
    <s v="Abhishek Sharma"/>
    <s v="Abhishek Sharma"/>
    <n v="17"/>
    <x v="1"/>
    <x v="1"/>
    <x v="0"/>
    <x v="18"/>
    <n v="51.3"/>
    <n v="25.2"/>
    <n v="92.2"/>
    <n v="61.5"/>
    <n v="2"/>
    <n v="5.3"/>
    <s v="Coding"/>
    <s v="SSC"/>
    <s v="High"/>
    <n v="60.33"/>
    <x v="2"/>
    <x v="0"/>
  </r>
  <r>
    <s v="S1020"/>
    <s v="Sanjana Deshmukh"/>
    <s v="Sanjana Deshmukh"/>
    <n v="16"/>
    <x v="0"/>
    <x v="1"/>
    <x v="1"/>
    <x v="19"/>
    <n v="86.7"/>
    <n v="33.9"/>
    <n v="79.900000000000006"/>
    <n v="91.2"/>
    <n v="5"/>
    <n v="1.6"/>
    <s v="Sports"/>
    <s v="SSC"/>
    <s v="Medium"/>
    <n v="63.915000000000006"/>
    <x v="2"/>
    <x v="0"/>
  </r>
  <r>
    <s v="S1021"/>
    <s v="Yash Sharma"/>
    <s v="Yash Sharma"/>
    <n v="15"/>
    <x v="1"/>
    <x v="0"/>
    <x v="2"/>
    <x v="20"/>
    <n v="68.2"/>
    <n v="90"/>
    <n v="95.5"/>
    <n v="44.5"/>
    <n v="6"/>
    <n v="1.4"/>
    <s v="Sports"/>
    <s v="HSC"/>
    <s v="Low"/>
    <n v="81.245000000000005"/>
    <x v="0"/>
    <x v="0"/>
  </r>
  <r>
    <s v="S1022"/>
    <s v="Siddharth Jadhav"/>
    <s v="Siddharth Jadhav"/>
    <n v="15"/>
    <x v="1"/>
    <x v="0"/>
    <x v="0"/>
    <x v="21"/>
    <n v="83.8"/>
    <n v="51.6"/>
    <n v="94.9"/>
    <n v="63.9"/>
    <n v="8"/>
    <n v="2.2000000000000002"/>
    <s v="None"/>
    <s v="Graduate"/>
    <s v="Low"/>
    <n v="72.954999999999998"/>
    <x v="3"/>
    <x v="0"/>
  </r>
  <r>
    <s v="S1023"/>
    <s v="Riya Singh"/>
    <s v="Riya Singh"/>
    <n v="18"/>
    <x v="0"/>
    <x v="1"/>
    <x v="1"/>
    <x v="22"/>
    <n v="89.5"/>
    <n v="87.4"/>
    <n v="61.8"/>
    <n v="68.099999999999994"/>
    <n v="3"/>
    <n v="2.7"/>
    <s v="Coding"/>
    <s v="Post Graduate"/>
    <s v="High"/>
    <n v="69.790000000000006"/>
    <x v="2"/>
    <x v="0"/>
  </r>
  <r>
    <s v="S1024"/>
    <s v="Yash Yadav"/>
    <s v="Yash Yadav"/>
    <n v="16"/>
    <x v="1"/>
    <x v="1"/>
    <x v="0"/>
    <x v="23"/>
    <n v="75.099999999999994"/>
    <n v="67.3"/>
    <n v="85"/>
    <n v="82.8"/>
    <n v="5"/>
    <n v="1.7"/>
    <s v="Music"/>
    <s v="Illiterate"/>
    <s v="Medium"/>
    <n v="74.22999999999999"/>
    <x v="3"/>
    <x v="0"/>
  </r>
  <r>
    <s v="S1025"/>
    <s v="Jyoti Deshmukh"/>
    <s v="Jyoti Deshmukh"/>
    <n v="15"/>
    <x v="0"/>
    <x v="0"/>
    <x v="2"/>
    <x v="24"/>
    <n v="68.900000000000006"/>
    <n v="74.400000000000006"/>
    <n v="51.3"/>
    <n v="91.7"/>
    <n v="7"/>
    <n v="6.1"/>
    <s v="Dance"/>
    <s v="Post Graduate"/>
    <s v="High"/>
    <n v="61.465000000000003"/>
    <x v="2"/>
    <x v="0"/>
  </r>
  <r>
    <s v="S1026"/>
    <s v="Ankit Kadam"/>
    <s v="Ankit Kadam"/>
    <n v="17"/>
    <x v="1"/>
    <x v="0"/>
    <x v="0"/>
    <x v="25"/>
    <n v="36.200000000000003"/>
    <n v="36.200000000000003"/>
    <n v="50.7"/>
    <n v="87.8"/>
    <n v="9"/>
    <n v="2.9"/>
    <s v="Coding"/>
    <s v="Post Graduate"/>
    <s v="Medium"/>
    <n v="46.075000000000003"/>
    <x v="4"/>
    <x v="0"/>
  </r>
  <r>
    <s v="S1027"/>
    <s v="Pallavi Pawar"/>
    <s v="Pallavi Pawar"/>
    <n v="15"/>
    <x v="0"/>
    <x v="1"/>
    <x v="1"/>
    <x v="26"/>
    <n v="79.900000000000006"/>
    <n v="76.5"/>
    <n v="56.9"/>
    <n v="77.900000000000006"/>
    <n v="6"/>
    <n v="4.9000000000000004"/>
    <s v="Sports"/>
    <s v="HSC"/>
    <s v="Low"/>
    <n v="64.335000000000008"/>
    <x v="2"/>
    <x v="0"/>
  </r>
  <r>
    <s v="S1028"/>
    <s v="Suresh Singh"/>
    <s v="Suresh Singh"/>
    <n v="16"/>
    <x v="1"/>
    <x v="1"/>
    <x v="2"/>
    <x v="27"/>
    <n v="68.2"/>
    <n v="66.3"/>
    <n v="36.5"/>
    <n v="51.2"/>
    <n v="4"/>
    <n v="2.8"/>
    <s v="Sports"/>
    <s v="Illiterate"/>
    <s v="High"/>
    <n v="48.254999999999995"/>
    <x v="4"/>
    <x v="0"/>
  </r>
  <r>
    <s v="S1029"/>
    <s v="Ananya Chavan"/>
    <s v="Ananya Chavan"/>
    <n v="15"/>
    <x v="0"/>
    <x v="0"/>
    <x v="0"/>
    <x v="28"/>
    <n v="47"/>
    <n v="46.8"/>
    <n v="68.900000000000006"/>
    <n v="91.2"/>
    <n v="5"/>
    <n v="3.7"/>
    <s v="Art"/>
    <s v="SSC"/>
    <s v="Medium"/>
    <n v="58.865000000000009"/>
    <x v="1"/>
    <x v="0"/>
  </r>
  <r>
    <s v="S1030"/>
    <s v="Vikram Chavan"/>
    <s v="Vikram Chavan"/>
    <n v="16"/>
    <x v="1"/>
    <x v="0"/>
    <x v="1"/>
    <x v="29"/>
    <n v="68.900000000000006"/>
    <n v="45.8"/>
    <n v="36.5"/>
    <n v="68.099999999999994"/>
    <n v="7"/>
    <n v="1.6"/>
    <s v="Coding"/>
    <s v="Post Graduate"/>
    <s v="Low"/>
    <n v="43.865000000000002"/>
    <x v="4"/>
    <x v="0"/>
  </r>
  <r>
    <s v="S1031"/>
    <s v="Sneha Kadam"/>
    <s v="Sneha Kadam"/>
    <n v="15"/>
    <x v="0"/>
    <x v="1"/>
    <x v="0"/>
    <x v="30"/>
    <n v="89.5"/>
    <n v="90"/>
    <n v="83.8"/>
    <n v="67"/>
    <n v="4"/>
    <n v="4.4000000000000004"/>
    <s v="Music"/>
    <s v="SSC"/>
    <s v="Low"/>
    <n v="80.36"/>
    <x v="0"/>
    <x v="0"/>
  </r>
  <r>
    <s v="S1032"/>
    <s v="Kriti Bhosale"/>
    <s v="Kriti Bhosale"/>
    <n v="15"/>
    <x v="0"/>
    <x v="1"/>
    <x v="2"/>
    <x v="12"/>
    <n v="79.900000000000006"/>
    <n v="25.2"/>
    <n v="75.099999999999994"/>
    <n v="52.8"/>
    <n v="5"/>
    <n v="2.8"/>
    <s v="Dance"/>
    <s v="SSC"/>
    <s v="High"/>
    <n v="54.625"/>
    <x v="1"/>
    <x v="0"/>
  </r>
  <r>
    <s v="S1033"/>
    <s v="Manish Kadam"/>
    <s v="Manish Kadam"/>
    <n v="16"/>
    <x v="1"/>
    <x v="0"/>
    <x v="0"/>
    <x v="31"/>
    <n v="25.2"/>
    <n v="85"/>
    <n v="68.900000000000006"/>
    <n v="47.8"/>
    <n v="1"/>
    <n v="6.1"/>
    <s v="Coding"/>
    <s v="HSC"/>
    <s v="Medium"/>
    <n v="63.805000000000007"/>
    <x v="2"/>
    <x v="0"/>
  </r>
  <r>
    <s v="S1034"/>
    <s v="Isha Naik"/>
    <s v="Isha Naik"/>
    <n v="16"/>
    <x v="0"/>
    <x v="0"/>
    <x v="1"/>
    <x v="32"/>
    <n v="83.8"/>
    <n v="92.2"/>
    <n v="92.2"/>
    <n v="47.7"/>
    <n v="9"/>
    <n v="3"/>
    <s v="Sports"/>
    <s v="Graduate"/>
    <s v="High"/>
    <n v="82.3"/>
    <x v="0"/>
    <x v="0"/>
  </r>
  <r>
    <s v="S1035"/>
    <s v="Tanvi Thakur"/>
    <s v="Tanvi Thakur"/>
    <n v="15"/>
    <x v="0"/>
    <x v="1"/>
    <x v="2"/>
    <x v="33"/>
    <n v="86.7"/>
    <n v="76.599999999999994"/>
    <n v="83.8"/>
    <n v="69.599999999999994"/>
    <n v="3"/>
    <n v="1.7"/>
    <s v="None"/>
    <s v="Post Graduate"/>
    <s v="Medium"/>
    <n v="76.319999999999993"/>
    <x v="3"/>
    <x v="0"/>
  </r>
  <r>
    <s v="S1036"/>
    <s v="Deepak Bhosale"/>
    <s v="Deepak Bhosale"/>
    <n v="16"/>
    <x v="1"/>
    <x v="1"/>
    <x v="0"/>
    <x v="34"/>
    <n v="50.7"/>
    <n v="76.5"/>
    <n v="83.8"/>
    <n v="82.3"/>
    <n v="2"/>
    <n v="4.9000000000000004"/>
    <s v="Art"/>
    <s v="Illiterate"/>
    <s v="Low"/>
    <n v="73.960000000000008"/>
    <x v="3"/>
    <x v="0"/>
  </r>
  <r>
    <s v="S1037"/>
    <s v="Harsh Pawar"/>
    <s v="Harsh Pawar"/>
    <n v="15"/>
    <x v="1"/>
    <x v="0"/>
    <x v="1"/>
    <x v="35"/>
    <n v="44.5"/>
    <n v="87.4"/>
    <n v="79.900000000000006"/>
    <n v="77.7"/>
    <n v="7"/>
    <n v="1.4"/>
    <s v="Coding"/>
    <s v="Post Graduate"/>
    <s v="High"/>
    <n v="74.394999999999996"/>
    <x v="3"/>
    <x v="0"/>
  </r>
  <r>
    <s v="S1038"/>
    <s v="Aryan Jadhav"/>
    <s v="Aryan Jadhav"/>
    <n v="16"/>
    <x v="1"/>
    <x v="0"/>
    <x v="0"/>
    <x v="36"/>
    <n v="68.900000000000006"/>
    <n v="85.2"/>
    <n v="68.900000000000006"/>
    <n v="44.5"/>
    <n v="3"/>
    <n v="7.6"/>
    <s v="Music"/>
    <s v="Post Graduate"/>
    <s v="Medium"/>
    <n v="67.905000000000001"/>
    <x v="2"/>
    <x v="0"/>
  </r>
  <r>
    <s v="S1039"/>
    <s v="Yash Kadam"/>
    <s v="Yash Kadam"/>
    <n v="16"/>
    <x v="1"/>
    <x v="1"/>
    <x v="2"/>
    <x v="23"/>
    <n v="36.5"/>
    <n v="76.5"/>
    <n v="68.2"/>
    <n v="51.2"/>
    <n v="5"/>
    <n v="6.6"/>
    <s v="Dance"/>
    <s v="HSC"/>
    <s v="Low"/>
    <n v="62.410000000000011"/>
    <x v="2"/>
    <x v="0"/>
  </r>
  <r>
    <s v="S1040"/>
    <s v="Meera Joshi"/>
    <s v="Meera Joshi"/>
    <n v="16"/>
    <x v="0"/>
    <x v="1"/>
    <x v="0"/>
    <x v="37"/>
    <n v="89.5"/>
    <n v="77.2"/>
    <n v="75.099999999999994"/>
    <n v="91.2"/>
    <n v="7"/>
    <n v="2.7"/>
    <s v="Coding"/>
    <s v="Illiterate"/>
    <s v="Low"/>
    <n v="75.025000000000006"/>
    <x v="3"/>
    <x v="0"/>
  </r>
  <r>
    <s v="S1041"/>
    <s v="Aditya Chavan"/>
    <s v="Aditya Chavan"/>
    <n v="16"/>
    <x v="1"/>
    <x v="0"/>
    <x v="1"/>
    <x v="26"/>
    <n v="68.900000000000006"/>
    <n v="36.5"/>
    <n v="66.400000000000006"/>
    <n v="91.7"/>
    <n v="9"/>
    <n v="3"/>
    <s v="Sports"/>
    <s v="SSC"/>
    <s v="High"/>
    <n v="56.89"/>
    <x v="1"/>
    <x v="0"/>
  </r>
  <r>
    <s v="S1042"/>
    <s v="Kavya Shinde"/>
    <s v="Kavya Shinde"/>
    <n v="15"/>
    <x v="0"/>
    <x v="0"/>
    <x v="2"/>
    <x v="38"/>
    <n v="36.5"/>
    <n v="29.8"/>
    <n v="87.8"/>
    <n v="44.5"/>
    <n v="6"/>
    <n v="1.5"/>
    <s v="Sports"/>
    <s v="Post Graduate"/>
    <s v="Medium"/>
    <n v="56.55"/>
    <x v="1"/>
    <x v="0"/>
  </r>
  <r>
    <s v="S1043"/>
    <s v="Neha Rane"/>
    <s v="Neha Rane"/>
    <n v="17"/>
    <x v="0"/>
    <x v="1"/>
    <x v="0"/>
    <x v="39"/>
    <n v="83.8"/>
    <n v="70"/>
    <n v="86.7"/>
    <n v="82.8"/>
    <n v="4"/>
    <n v="4.9000000000000004"/>
    <s v="Art"/>
    <s v="SSC"/>
    <s v="High"/>
    <n v="76.675000000000011"/>
    <x v="3"/>
    <x v="0"/>
  </r>
  <r>
    <s v="S1044"/>
    <s v="Raj More"/>
    <s v="Raj More"/>
    <n v="15"/>
    <x v="1"/>
    <x v="1"/>
    <x v="1"/>
    <x v="40"/>
    <n v="75.099999999999994"/>
    <n v="36.200000000000003"/>
    <n v="80.3"/>
    <n v="68.099999999999994"/>
    <n v="9"/>
    <n v="2.6"/>
    <s v="Coding"/>
    <s v="SSC"/>
    <s v="Medium"/>
    <n v="61.314999999999998"/>
    <x v="2"/>
    <x v="0"/>
  </r>
  <r>
    <s v="S1045"/>
    <s v="Neha Chavan"/>
    <s v="Neha Chavan"/>
    <n v="16"/>
    <x v="0"/>
    <x v="0"/>
    <x v="0"/>
    <x v="5"/>
    <n v="68.900000000000006"/>
    <n v="45.8"/>
    <n v="66.400000000000006"/>
    <n v="91.2"/>
    <n v="1"/>
    <n v="7.5"/>
    <s v="Music"/>
    <s v="HSC"/>
    <s v="Low"/>
    <n v="59.63000000000001"/>
    <x v="1"/>
    <x v="0"/>
  </r>
  <r>
    <s v="S1046"/>
    <s v="Pranav Kulkarni"/>
    <s v="Pranav Kulkarni"/>
    <n v="15"/>
    <x v="1"/>
    <x v="0"/>
    <x v="2"/>
    <x v="41"/>
    <n v="36.5"/>
    <n v="25.2"/>
    <n v="91.8"/>
    <n v="52.8"/>
    <n v="8"/>
    <n v="4.9000000000000004"/>
    <s v="Dance"/>
    <s v="Graduate"/>
    <s v="High"/>
    <n v="57.800000000000004"/>
    <x v="1"/>
    <x v="0"/>
  </r>
  <r>
    <s v="S1047"/>
    <s v="Vikram Patil"/>
    <s v="Vikram Patil"/>
    <n v="17"/>
    <x v="1"/>
    <x v="1"/>
    <x v="0"/>
    <x v="0"/>
    <n v="79.900000000000006"/>
    <n v="87.4"/>
    <n v="71.3"/>
    <n v="69.599999999999994"/>
    <n v="1"/>
    <n v="6.6"/>
    <s v="Coding"/>
    <s v="Post Graduate"/>
    <s v="Medium"/>
    <n v="73.254999999999995"/>
    <x v="3"/>
    <x v="0"/>
  </r>
  <r>
    <s v="S1048"/>
    <s v="Kriti Rane"/>
    <s v="Kriti Rane"/>
    <n v="16"/>
    <x v="0"/>
    <x v="1"/>
    <x v="1"/>
    <x v="42"/>
    <n v="68.900000000000006"/>
    <n v="76.5"/>
    <n v="76.5"/>
    <n v="67"/>
    <n v="7"/>
    <n v="1.6"/>
    <s v="Sports"/>
    <s v="Illiterate"/>
    <s v="Low"/>
    <n v="70.965000000000003"/>
    <x v="3"/>
    <x v="0"/>
  </r>
  <r>
    <s v="S1049"/>
    <s v="Aditya Thakur"/>
    <s v="Aditya Thakur"/>
    <n v="15"/>
    <x v="1"/>
    <x v="0"/>
    <x v="2"/>
    <x v="0"/>
    <n v="83.8"/>
    <n v="85"/>
    <n v="92"/>
    <n v="80.2"/>
    <n v="2"/>
    <n v="7.6"/>
    <s v="Sports"/>
    <s v="Post Graduate"/>
    <s v="Low"/>
    <n v="83.3"/>
    <x v="0"/>
    <x v="0"/>
  </r>
  <r>
    <s v="S1050"/>
    <s v="Suresh Sharma"/>
    <s v="Suresh Sharma"/>
    <n v="17"/>
    <x v="1"/>
    <x v="0"/>
    <x v="0"/>
    <x v="42"/>
    <n v="66.400000000000006"/>
    <n v="92.2"/>
    <n v="76.900000000000006"/>
    <n v="91.2"/>
    <n v="1"/>
    <n v="4.9000000000000004"/>
    <s v="Art"/>
    <s v="Post Graduate"/>
    <s v="High"/>
    <n v="78.025000000000006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88BCE-D346-494C-846B-05369FBEA3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Y7:Z10" firstHeaderRow="1" firstDataRow="1" firstDataCol="1"/>
  <pivotFields count="20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Final Score" fld="17" subtotal="average" baseField="0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8C78F-D3B3-4176-A798-5FA5F2CE317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4:Z3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3"/>
        <item x="2"/>
        <item x="1"/>
        <item x="4"/>
        <item t="default"/>
      </items>
    </pivotField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Grade" fld="18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6FE37-414E-4850-982B-366CED4210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Y19:Z22" firstHeaderRow="1" firstDataRow="1" firstDataCol="1"/>
  <pivotFields count="2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44">
        <item x="23"/>
        <item x="29"/>
        <item x="36"/>
        <item x="21"/>
        <item x="20"/>
        <item x="31"/>
        <item x="27"/>
        <item x="28"/>
        <item x="38"/>
        <item x="35"/>
        <item x="22"/>
        <item x="33"/>
        <item x="40"/>
        <item x="18"/>
        <item x="10"/>
        <item x="2"/>
        <item x="13"/>
        <item x="26"/>
        <item x="7"/>
        <item x="41"/>
        <item x="39"/>
        <item x="8"/>
        <item x="4"/>
        <item x="37"/>
        <item x="12"/>
        <item x="9"/>
        <item x="32"/>
        <item x="5"/>
        <item x="15"/>
        <item x="1"/>
        <item x="24"/>
        <item x="11"/>
        <item x="19"/>
        <item x="0"/>
        <item x="30"/>
        <item x="42"/>
        <item x="3"/>
        <item x="6"/>
        <item x="14"/>
        <item x="25"/>
        <item x="34"/>
        <item x="1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Attendance" fld="7" subtotal="average" baseField="0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388CF-5D4D-475E-A7EE-04EB4E4326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Y12:AB17" firstHeaderRow="1" firstDataRow="2" firstDataCol="1"/>
  <pivotFields count="20">
    <pivotField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unt of Name" fld="1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053B3-5753-45E6-9B30-995EEE7123EB}" name="Table1" displayName="Table1" ref="A1:X51" totalsRowShown="0">
  <autoFilter ref="A1:X51" xr:uid="{15A053B3-5753-45E6-9B30-995EEE7123EB}"/>
  <tableColumns count="24">
    <tableColumn id="1" xr3:uid="{9A6D3E9E-4ACF-4F0E-894C-29D3DAE9AC96}" name="StudentID"/>
    <tableColumn id="2" xr3:uid="{A0FBFB1F-49F2-4915-920D-86A074FC33B3}" name="Name"/>
    <tableColumn id="22" xr3:uid="{F5F640C5-B401-44A4-901B-D3BA80C2F11E}" name="First Name" dataDxfId="8">
      <calculatedColumnFormula>LEFT(Table1[[#This Row],[Name]],SEARCH(" ",Table1[[#This Row],[Name]])-1)</calculatedColumnFormula>
    </tableColumn>
    <tableColumn id="20" xr3:uid="{31DFE8B6-0BC9-4B63-BE10-A228152F2138}" name="Last Name" dataDxfId="7">
      <calculatedColumnFormula>RIGHT(Table1[[#This Row],[Name]],LEN(Table1[[#This Row],[Name]])-SEARCH(" ",Table1[[#This Row],[Name]]))</calculatedColumnFormula>
    </tableColumn>
    <tableColumn id="3" xr3:uid="{170E3C00-FB64-42F6-8B36-AFE2755A5BF8}" name="Age"/>
    <tableColumn id="4" xr3:uid="{F11D332C-D73D-4960-86DC-410E5532BD76}" name="Gender"/>
    <tableColumn id="5" xr3:uid="{04E2D461-3574-429E-AF61-80AD31E4975C}" name="Class"/>
    <tableColumn id="6" xr3:uid="{80BA6B6B-D865-42C7-B4B1-62BFC579CDD1}" name="Section"/>
    <tableColumn id="7" xr3:uid="{6166197F-B6EE-4558-AA97-D4599A1D5471}" name="Attendance"/>
    <tableColumn id="8" xr3:uid="{550915B6-134D-47FE-B247-42EA60377423}" name="Assignments Avg"/>
    <tableColumn id="9" xr3:uid="{1ECC806F-A363-49D8-B5C0-BF8E4C944018}" name="Midterm Score"/>
    <tableColumn id="25" xr3:uid="{A9DEB85C-A6ED-4C11-8634-93C2BB96BAF6}" name="Improvement" dataDxfId="0">
      <calculatedColumnFormula>Table1[[#This Row],[Final Exam Score]]-Table1[[#This Row],[Midterm Score]]</calculatedColumnFormula>
    </tableColumn>
    <tableColumn id="10" xr3:uid="{5A7C84EA-90EF-4B92-8FA2-9F273A2BE891}" name="Final Exam Score"/>
    <tableColumn id="11" xr3:uid="{196FC9D9-E157-4EF0-BA28-D599F049AC1D}" name="Project Score"/>
    <tableColumn id="12" xr3:uid="{0F6E2F5C-1B18-4535-BF27-96F4995D829C}" name="Participation"/>
    <tableColumn id="13" xr3:uid="{FF18B472-5910-4B31-AF0F-E3B79600743C}" name="Study Hours"/>
    <tableColumn id="14" xr3:uid="{EAA1D5FE-C7B0-42E6-A88D-753FEFBC1947}" name="Extracurricular"/>
    <tableColumn id="15" xr3:uid="{66DB792C-7513-46A6-9A0F-3B327B1F312C}" name="Parent Education"/>
    <tableColumn id="16" xr3:uid="{CFB7D751-87FC-4421-A1D6-A19B73DDFF0B}" name="Socio-Economic"/>
    <tableColumn id="17" xr3:uid="{FB398C7F-696A-4FA1-91C6-C036716C1037}" name="Final Score" dataDxfId="6">
      <calculatedColumnFormula>Table1[[#This Row],[Assignments Avg]]*0.1+Table1[[#This Row],[Midterm Score]]*0.3+Table1[[#This Row],[Final Exam Score]]*0.45+Table1[[#This Row],[Project Score]]*0.1</calculatedColumnFormula>
    </tableColumn>
    <tableColumn id="18" xr3:uid="{8CBA3C0C-C6A5-4EDD-8440-279B98279324}" name="Grade" dataDxfId="5">
      <calculatedColumnFormula>IF(Table1[[#This Row],[Final Score]]&gt;=80,"A",IF(Table1[[#This Row],[Final Score]]&gt;=70,"B",IF(Table1[[#This Row],[Final Score]]&gt;=60,"C",IF(Table1[[#This Row],[Final Score]]&gt;=50,"D","F"))))</calculatedColumnFormula>
    </tableColumn>
    <tableColumn id="19" xr3:uid="{042DC277-01A2-421A-9E38-D28667953187}" name="Result" dataDxfId="4">
      <calculatedColumnFormula>IF(Table1[[#This Row],[Final Score]]&gt;=40,"Pass","Fail")</calculatedColumnFormula>
    </tableColumn>
    <tableColumn id="21" xr3:uid="{DE5A6D9B-4D8A-4666-B51A-88BAD162B83F}" name="At-Risk" dataDxfId="3">
      <calculatedColumnFormula>IF(OR(Table1[[#This Row],[Attendance]]&lt;75,Table1[[#This Row],[Final Score]]&lt;45),"At-risk","Ok")</calculatedColumnFormula>
    </tableColumn>
    <tableColumn id="23" xr3:uid="{125A35AE-7CB8-40D2-BAE5-8BA51B57A115}" name="Study Status" dataDxfId="2">
      <calculatedColumnFormula>IF(Table1[[#This Row],[Study Hours]]&lt;2,"Low Study","Normal")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A3AC-1509-4F17-AE92-C91BD2A31BA6}">
  <dimension ref="A1:AB54"/>
  <sheetViews>
    <sheetView tabSelected="1" topLeftCell="F1" workbookViewId="0">
      <selection activeCell="L3" sqref="L3"/>
    </sheetView>
  </sheetViews>
  <sheetFormatPr defaultRowHeight="14.4" x14ac:dyDescent="0.3"/>
  <cols>
    <col min="1" max="1" width="11.6640625" bestFit="1" customWidth="1"/>
    <col min="2" max="4" width="16.33203125" customWidth="1"/>
    <col min="5" max="5" width="6.44140625" customWidth="1"/>
    <col min="6" max="6" width="9.33203125" bestFit="1" customWidth="1"/>
    <col min="7" max="7" width="7.33203125" bestFit="1" customWidth="1"/>
    <col min="8" max="8" width="9.44140625" bestFit="1" customWidth="1"/>
    <col min="9" max="9" width="13" bestFit="1" customWidth="1"/>
    <col min="10" max="10" width="17.5546875" bestFit="1" customWidth="1"/>
    <col min="11" max="11" width="15.77734375" bestFit="1" customWidth="1"/>
    <col min="12" max="12" width="15.77734375" customWidth="1"/>
    <col min="13" max="13" width="17.33203125" bestFit="1" customWidth="1"/>
    <col min="14" max="14" width="14.33203125" bestFit="1" customWidth="1"/>
    <col min="15" max="15" width="13.88671875" bestFit="1" customWidth="1"/>
    <col min="16" max="16" width="13.44140625" bestFit="1" customWidth="1"/>
    <col min="17" max="17" width="15.44140625" bestFit="1" customWidth="1"/>
    <col min="18" max="18" width="17.77734375" bestFit="1" customWidth="1"/>
    <col min="19" max="19" width="16.77734375" bestFit="1" customWidth="1"/>
    <col min="20" max="20" width="12.21875" bestFit="1" customWidth="1"/>
    <col min="21" max="21" width="8.21875" bestFit="1" customWidth="1"/>
    <col min="22" max="22" width="8.33203125" bestFit="1" customWidth="1"/>
    <col min="23" max="23" width="14.5546875" bestFit="1" customWidth="1"/>
    <col min="24" max="24" width="13.77734375" bestFit="1" customWidth="1"/>
    <col min="25" max="25" width="13.88671875" bestFit="1" customWidth="1"/>
    <col min="26" max="26" width="20.5546875" bestFit="1" customWidth="1"/>
    <col min="27" max="27" width="4.6640625" bestFit="1" customWidth="1"/>
    <col min="28" max="28" width="10.77734375" bestFit="1" customWidth="1"/>
    <col min="29" max="41" width="5" bestFit="1" customWidth="1"/>
    <col min="42" max="42" width="3" bestFit="1" customWidth="1"/>
    <col min="43" max="51" width="5" bestFit="1" customWidth="1"/>
    <col min="52" max="52" width="3" bestFit="1" customWidth="1"/>
    <col min="53" max="57" width="5" bestFit="1" customWidth="1"/>
    <col min="58" max="58" width="3" bestFit="1" customWidth="1"/>
    <col min="59" max="62" width="5" bestFit="1" customWidth="1"/>
    <col min="63" max="63" width="3" bestFit="1" customWidth="1"/>
    <col min="64" max="68" width="5" bestFit="1" customWidth="1"/>
    <col min="69" max="69" width="10.77734375" bestFit="1" customWidth="1"/>
  </cols>
  <sheetData>
    <row r="1" spans="1:28" x14ac:dyDescent="0.3">
      <c r="A1" t="s">
        <v>0</v>
      </c>
      <c r="B1" t="s">
        <v>1</v>
      </c>
      <c r="C1" t="s">
        <v>155</v>
      </c>
      <c r="D1" t="s">
        <v>156</v>
      </c>
      <c r="E1" t="s">
        <v>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159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150</v>
      </c>
      <c r="X1" t="s">
        <v>157</v>
      </c>
    </row>
    <row r="2" spans="1:28" x14ac:dyDescent="0.3">
      <c r="A2" t="s">
        <v>19</v>
      </c>
      <c r="B2" t="s">
        <v>71</v>
      </c>
      <c r="C2" t="str">
        <f>LEFT(Table1[[#This Row],[Name]],SEARCH(" ",Table1[[#This Row],[Name]])-1)</f>
        <v>Diksha</v>
      </c>
      <c r="D2" t="str">
        <f>RIGHT(Table1[[#This Row],[Name]],LEN(Table1[[#This Row],[Name]])-SEARCH(" ",Table1[[#This Row],[Name]]))</f>
        <v>Salunke</v>
      </c>
      <c r="E2">
        <v>17</v>
      </c>
      <c r="F2" t="s">
        <v>117</v>
      </c>
      <c r="G2" t="s">
        <v>120</v>
      </c>
      <c r="H2" t="s">
        <v>122</v>
      </c>
      <c r="I2">
        <v>86.7</v>
      </c>
      <c r="J2">
        <v>92.2</v>
      </c>
      <c r="K2">
        <v>90</v>
      </c>
      <c r="L2">
        <f>Table1[[#This Row],[Final Exam Score]]-Table1[[#This Row],[Midterm Score]]</f>
        <v>-0.5</v>
      </c>
      <c r="M2">
        <v>89.5</v>
      </c>
      <c r="N2" s="1">
        <v>94.3</v>
      </c>
      <c r="O2" s="1">
        <v>10</v>
      </c>
      <c r="P2" s="1">
        <v>6.8</v>
      </c>
      <c r="Q2" t="s">
        <v>125</v>
      </c>
      <c r="R2" s="1" t="s">
        <v>131</v>
      </c>
      <c r="S2" s="1" t="s">
        <v>136</v>
      </c>
      <c r="T2">
        <f>Table1[[#This Row],[Assignments Avg]]*0.1+Table1[[#This Row],[Midterm Score]]*0.3+Table1[[#This Row],[Final Exam Score]]*0.45+Table1[[#This Row],[Project Score]]*0.1</f>
        <v>85.925000000000011</v>
      </c>
      <c r="U2" t="str">
        <f>IF(Table1[[#This Row],[Final Score]]&gt;=80,"A",IF(Table1[[#This Row],[Final Score]]&gt;=70,"B",IF(Table1[[#This Row],[Final Score]]&gt;=60,"C",IF(Table1[[#This Row],[Final Score]]&gt;=50,"D","F"))))</f>
        <v>A</v>
      </c>
      <c r="V2" t="str">
        <f>IF(Table1[[#This Row],[Final Score]]&gt;=40,"Pass","Fail")</f>
        <v>Pass</v>
      </c>
      <c r="W2" t="str">
        <f>IF(OR(Table1[[#This Row],[Attendance]]&lt;75,Table1[[#This Row],[Final Score]]&lt;45),"At-risk","Ok")</f>
        <v>Ok</v>
      </c>
      <c r="X2" s="5" t="str">
        <f>IF(Table1[[#This Row],[Study Hours]]&lt;2,"Low Study","Normal")</f>
        <v>Normal</v>
      </c>
    </row>
    <row r="3" spans="1:28" x14ac:dyDescent="0.3">
      <c r="A3" t="s">
        <v>20</v>
      </c>
      <c r="B3" t="s">
        <v>72</v>
      </c>
      <c r="C3" t="str">
        <f>LEFT(Table1[[#This Row],[Name]],SEARCH(" ",Table1[[#This Row],[Name]])-1)</f>
        <v>Somnath</v>
      </c>
      <c r="D3" t="str">
        <f>RIGHT(Table1[[#This Row],[Name]],LEN(Table1[[#This Row],[Name]])-SEARCH(" ",Table1[[#This Row],[Name]]))</f>
        <v>Hake</v>
      </c>
      <c r="E3">
        <v>17</v>
      </c>
      <c r="F3" t="s">
        <v>118</v>
      </c>
      <c r="G3" t="s">
        <v>120</v>
      </c>
      <c r="H3" t="s">
        <v>123</v>
      </c>
      <c r="I3">
        <v>80.3</v>
      </c>
      <c r="J3">
        <v>92.2</v>
      </c>
      <c r="K3" s="1">
        <v>94.2</v>
      </c>
      <c r="L3" s="1">
        <f>Table1[[#This Row],[Final Exam Score]]-Table1[[#This Row],[Midterm Score]]</f>
        <v>-19.100000000000009</v>
      </c>
      <c r="M3">
        <v>75.099999999999994</v>
      </c>
      <c r="N3" s="1">
        <v>94.3</v>
      </c>
      <c r="O3" s="1">
        <v>10</v>
      </c>
      <c r="P3" s="1">
        <v>6.8</v>
      </c>
      <c r="Q3" t="s">
        <v>126</v>
      </c>
      <c r="R3" s="1" t="s">
        <v>131</v>
      </c>
      <c r="S3" s="1" t="s">
        <v>137</v>
      </c>
      <c r="T3">
        <f>Table1[[#This Row],[Assignments Avg]]*0.1+Table1[[#This Row],[Midterm Score]]*0.3+Table1[[#This Row],[Final Exam Score]]*0.45+Table1[[#This Row],[Project Score]]*0.1</f>
        <v>80.705000000000013</v>
      </c>
      <c r="U3" t="str">
        <f>IF(Table1[[#This Row],[Final Score]]&gt;=80,"A",IF(Table1[[#This Row],[Final Score]]&gt;=70,"B",IF(Table1[[#This Row],[Final Score]]&gt;=60,"C",IF(Table1[[#This Row],[Final Score]]&gt;=50,"D","F"))))</f>
        <v>A</v>
      </c>
      <c r="V3" t="str">
        <f>IF(Table1[[#This Row],[Final Score]]&gt;=40,"Pass","Fail")</f>
        <v>Pass</v>
      </c>
      <c r="W3" t="str">
        <f>IF(OR(Table1[[#This Row],[Attendance]]&lt;75,Table1[[#This Row],[Final Score]]&lt;45),"At-risk","Ok")</f>
        <v>Ok</v>
      </c>
      <c r="X3" s="5" t="str">
        <f>IF(Table1[[#This Row],[Study Hours]]&lt;2,"Low Study","Normal")</f>
        <v>Normal</v>
      </c>
    </row>
    <row r="4" spans="1:28" x14ac:dyDescent="0.3">
      <c r="A4" t="s">
        <v>21</v>
      </c>
      <c r="B4" t="s">
        <v>70</v>
      </c>
      <c r="C4" t="str">
        <f>LEFT(Table1[[#This Row],[Name]],SEARCH(" ",Table1[[#This Row],[Name]])-1)</f>
        <v>Manish</v>
      </c>
      <c r="D4" t="str">
        <f>RIGHT(Table1[[#This Row],[Name]],LEN(Table1[[#This Row],[Name]])-SEARCH(" ",Table1[[#This Row],[Name]]))</f>
        <v>More</v>
      </c>
      <c r="E4">
        <v>16</v>
      </c>
      <c r="F4" t="s">
        <v>119</v>
      </c>
      <c r="G4" t="s">
        <v>121</v>
      </c>
      <c r="H4" t="s">
        <v>122</v>
      </c>
      <c r="I4">
        <v>66.400000000000006</v>
      </c>
      <c r="J4">
        <v>83.8</v>
      </c>
      <c r="K4">
        <v>36.200000000000003</v>
      </c>
      <c r="L4">
        <f>Table1[[#This Row],[Final Exam Score]]-Table1[[#This Row],[Midterm Score]]</f>
        <v>32.700000000000003</v>
      </c>
      <c r="M4">
        <v>68.900000000000006</v>
      </c>
      <c r="N4" s="1">
        <v>68.099999999999994</v>
      </c>
      <c r="O4" s="1">
        <v>3</v>
      </c>
      <c r="P4" s="1">
        <v>4.9000000000000004</v>
      </c>
      <c r="Q4" t="s">
        <v>127</v>
      </c>
      <c r="R4" s="1" t="s">
        <v>133</v>
      </c>
      <c r="S4" s="1" t="s">
        <v>138</v>
      </c>
      <c r="T4">
        <f>Table1[[#This Row],[Assignments Avg]]*0.1+Table1[[#This Row],[Midterm Score]]*0.3+Table1[[#This Row],[Final Exam Score]]*0.45+Table1[[#This Row],[Project Score]]*0.1</f>
        <v>57.055000000000007</v>
      </c>
      <c r="U4" t="str">
        <f>IF(Table1[[#This Row],[Final Score]]&gt;=80,"A",IF(Table1[[#This Row],[Final Score]]&gt;=70,"B",IF(Table1[[#This Row],[Final Score]]&gt;=60,"C",IF(Table1[[#This Row],[Final Score]]&gt;=50,"D","F"))))</f>
        <v>D</v>
      </c>
      <c r="V4" t="str">
        <f>IF(Table1[[#This Row],[Final Score]]&gt;=40,"Pass","Fail")</f>
        <v>Pass</v>
      </c>
      <c r="W4" t="str">
        <f>IF(OR(Table1[[#This Row],[Attendance]]&lt;75,Table1[[#This Row],[Final Score]]&lt;45),"At-risk","Ok")</f>
        <v>At-risk</v>
      </c>
      <c r="X4" s="5" t="str">
        <f>IF(Table1[[#This Row],[Study Hours]]&lt;2,"Low Study","Normal")</f>
        <v>Normal</v>
      </c>
    </row>
    <row r="5" spans="1:28" x14ac:dyDescent="0.3">
      <c r="A5" t="s">
        <v>22</v>
      </c>
      <c r="B5" t="s">
        <v>69</v>
      </c>
      <c r="C5" t="str">
        <f>LEFT(Table1[[#This Row],[Name]],SEARCH(" ",Table1[[#This Row],[Name]])-1)</f>
        <v>Rohan</v>
      </c>
      <c r="D5" t="str">
        <f>RIGHT(Table1[[#This Row],[Name]],LEN(Table1[[#This Row],[Name]])-SEARCH(" ",Table1[[#This Row],[Name]]))</f>
        <v>Jadhav</v>
      </c>
      <c r="E5">
        <v>15</v>
      </c>
      <c r="F5" t="s">
        <v>118</v>
      </c>
      <c r="G5" t="s">
        <v>121</v>
      </c>
      <c r="H5" t="s">
        <v>124</v>
      </c>
      <c r="I5">
        <v>91.8</v>
      </c>
      <c r="J5">
        <v>83.8</v>
      </c>
      <c r="K5">
        <v>87.4</v>
      </c>
      <c r="L5">
        <f>Table1[[#This Row],[Final Exam Score]]-Table1[[#This Row],[Midterm Score]]</f>
        <v>-51.2</v>
      </c>
      <c r="M5">
        <v>36.200000000000003</v>
      </c>
      <c r="N5" s="1">
        <v>76.900000000000006</v>
      </c>
      <c r="O5" s="1">
        <v>5</v>
      </c>
      <c r="P5" s="1">
        <v>1.6</v>
      </c>
      <c r="Q5" t="s">
        <v>128</v>
      </c>
      <c r="R5" s="1" t="s">
        <v>134</v>
      </c>
      <c r="S5" s="1" t="s">
        <v>138</v>
      </c>
      <c r="T5">
        <f>Table1[[#This Row],[Assignments Avg]]*0.1+Table1[[#This Row],[Midterm Score]]*0.3+Table1[[#This Row],[Final Exam Score]]*0.45+Table1[[#This Row],[Project Score]]*0.1</f>
        <v>58.58</v>
      </c>
      <c r="U5" t="str">
        <f>IF(Table1[[#This Row],[Final Score]]&gt;=80,"A",IF(Table1[[#This Row],[Final Score]]&gt;=70,"B",IF(Table1[[#This Row],[Final Score]]&gt;=60,"C",IF(Table1[[#This Row],[Final Score]]&gt;=50,"D","F"))))</f>
        <v>D</v>
      </c>
      <c r="V5" t="str">
        <f>IF(Table1[[#This Row],[Final Score]]&gt;=40,"Pass","Fail")</f>
        <v>Pass</v>
      </c>
      <c r="W5" t="str">
        <f>IF(OR(Table1[[#This Row],[Attendance]]&lt;75,Table1[[#This Row],[Final Score]]&lt;45),"At-risk","Ok")</f>
        <v>Ok</v>
      </c>
      <c r="X5" s="5" t="str">
        <f>IF(Table1[[#This Row],[Study Hours]]&lt;2,"Low Study","Normal")</f>
        <v>Low Study</v>
      </c>
    </row>
    <row r="6" spans="1:28" x14ac:dyDescent="0.3">
      <c r="A6" t="s">
        <v>23</v>
      </c>
      <c r="B6" t="s">
        <v>73</v>
      </c>
      <c r="C6" t="str">
        <f>LEFT(Table1[[#This Row],[Name]],SEARCH(" ",Table1[[#This Row],[Name]])-1)</f>
        <v>Harsh</v>
      </c>
      <c r="D6" t="str">
        <f>RIGHT(Table1[[#This Row],[Name]],LEN(Table1[[#This Row],[Name]])-SEARCH(" ",Table1[[#This Row],[Name]]))</f>
        <v>Kulkarni</v>
      </c>
      <c r="E6">
        <v>15</v>
      </c>
      <c r="F6" t="s">
        <v>118</v>
      </c>
      <c r="G6" t="s">
        <v>120</v>
      </c>
      <c r="H6" t="s">
        <v>122</v>
      </c>
      <c r="I6">
        <v>71.3</v>
      </c>
      <c r="J6">
        <v>79.900000000000006</v>
      </c>
      <c r="K6">
        <v>25.2</v>
      </c>
      <c r="L6">
        <f>Table1[[#This Row],[Final Exam Score]]-Table1[[#This Row],[Midterm Score]]</f>
        <v>54.7</v>
      </c>
      <c r="M6">
        <v>79.900000000000006</v>
      </c>
      <c r="N6" s="1">
        <v>80.2</v>
      </c>
      <c r="O6" s="1">
        <v>7</v>
      </c>
      <c r="P6" s="1">
        <v>2.8</v>
      </c>
      <c r="Q6" t="s">
        <v>126</v>
      </c>
      <c r="R6" s="1" t="s">
        <v>132</v>
      </c>
      <c r="S6" s="1" t="s">
        <v>136</v>
      </c>
      <c r="T6">
        <f>Table1[[#This Row],[Assignments Avg]]*0.1+Table1[[#This Row],[Midterm Score]]*0.3+Table1[[#This Row],[Final Exam Score]]*0.45+Table1[[#This Row],[Project Score]]*0.1</f>
        <v>59.525000000000013</v>
      </c>
      <c r="U6" t="str">
        <f>IF(Table1[[#This Row],[Final Score]]&gt;=80,"A",IF(Table1[[#This Row],[Final Score]]&gt;=70,"B",IF(Table1[[#This Row],[Final Score]]&gt;=60,"C",IF(Table1[[#This Row],[Final Score]]&gt;=50,"D","F"))))</f>
        <v>D</v>
      </c>
      <c r="V6" t="str">
        <f>IF(Table1[[#This Row],[Final Score]]&gt;=40,"Pass","Fail")</f>
        <v>Pass</v>
      </c>
      <c r="W6" t="str">
        <f>IF(OR(Table1[[#This Row],[Attendance]]&lt;75,Table1[[#This Row],[Final Score]]&lt;45),"At-risk","Ok")</f>
        <v>At-risk</v>
      </c>
      <c r="X6" s="5" t="str">
        <f>IF(Table1[[#This Row],[Study Hours]]&lt;2,"Low Study","Normal")</f>
        <v>Normal</v>
      </c>
    </row>
    <row r="7" spans="1:28" x14ac:dyDescent="0.3">
      <c r="A7" t="s">
        <v>24</v>
      </c>
      <c r="B7" t="s">
        <v>74</v>
      </c>
      <c r="C7" t="str">
        <f>LEFT(Table1[[#This Row],[Name]],SEARCH(" ",Table1[[#This Row],[Name]])-1)</f>
        <v>Virat</v>
      </c>
      <c r="D7" t="str">
        <f>RIGHT(Table1[[#This Row],[Name]],LEN(Table1[[#This Row],[Name]])-SEARCH(" ",Table1[[#This Row],[Name]]))</f>
        <v>Singh</v>
      </c>
      <c r="E7">
        <v>16</v>
      </c>
      <c r="F7" t="s">
        <v>118</v>
      </c>
      <c r="G7" t="s">
        <v>120</v>
      </c>
      <c r="H7" t="s">
        <v>123</v>
      </c>
      <c r="I7">
        <v>76.5</v>
      </c>
      <c r="J7">
        <v>68.900000000000006</v>
      </c>
      <c r="K7">
        <v>76.599999999999994</v>
      </c>
      <c r="L7">
        <f>Table1[[#This Row],[Final Exam Score]]-Table1[[#This Row],[Midterm Score]]</f>
        <v>-8.3999999999999915</v>
      </c>
      <c r="M7">
        <v>68.2</v>
      </c>
      <c r="N7" s="1">
        <v>87.8</v>
      </c>
      <c r="O7" s="1">
        <v>9</v>
      </c>
      <c r="P7" s="1">
        <v>1.7</v>
      </c>
      <c r="Q7" t="s">
        <v>129</v>
      </c>
      <c r="R7" s="1" t="s">
        <v>131</v>
      </c>
      <c r="S7" s="1" t="s">
        <v>137</v>
      </c>
      <c r="T7">
        <f>Table1[[#This Row],[Assignments Avg]]*0.1+Table1[[#This Row],[Midterm Score]]*0.3+Table1[[#This Row],[Final Exam Score]]*0.45+Table1[[#This Row],[Project Score]]*0.1</f>
        <v>69.34</v>
      </c>
      <c r="U7" t="str">
        <f>IF(Table1[[#This Row],[Final Score]]&gt;=80,"A",IF(Table1[[#This Row],[Final Score]]&gt;=70,"B",IF(Table1[[#This Row],[Final Score]]&gt;=60,"C",IF(Table1[[#This Row],[Final Score]]&gt;=50,"D","F"))))</f>
        <v>C</v>
      </c>
      <c r="V7" t="str">
        <f>IF(Table1[[#This Row],[Final Score]]&gt;=40,"Pass","Fail")</f>
        <v>Pass</v>
      </c>
      <c r="W7" t="str">
        <f>IF(OR(Table1[[#This Row],[Attendance]]&lt;75,Table1[[#This Row],[Final Score]]&lt;45),"At-risk","Ok")</f>
        <v>Ok</v>
      </c>
      <c r="X7" s="5" t="str">
        <f>IF(Table1[[#This Row],[Study Hours]]&lt;2,"Low Study","Normal")</f>
        <v>Low Study</v>
      </c>
      <c r="Y7" s="2" t="s">
        <v>139</v>
      </c>
      <c r="Z7" t="s">
        <v>141</v>
      </c>
    </row>
    <row r="8" spans="1:28" x14ac:dyDescent="0.3">
      <c r="A8" t="s">
        <v>25</v>
      </c>
      <c r="B8" t="s">
        <v>75</v>
      </c>
      <c r="C8" t="str">
        <f>LEFT(Table1[[#This Row],[Name]],SEARCH(" ",Table1[[#This Row],[Name]])-1)</f>
        <v>Abhishek</v>
      </c>
      <c r="D8" t="str">
        <f>RIGHT(Table1[[#This Row],[Name]],LEN(Table1[[#This Row],[Name]])-SEARCH(" ",Table1[[#This Row],[Name]]))</f>
        <v>Joshi</v>
      </c>
      <c r="E8">
        <v>17</v>
      </c>
      <c r="F8" t="s">
        <v>118</v>
      </c>
      <c r="G8" t="s">
        <v>121</v>
      </c>
      <c r="H8" t="s">
        <v>124</v>
      </c>
      <c r="I8">
        <v>92</v>
      </c>
      <c r="J8">
        <v>68.2</v>
      </c>
      <c r="K8">
        <v>70</v>
      </c>
      <c r="L8">
        <f>Table1[[#This Row],[Final Exam Score]]-Table1[[#This Row],[Midterm Score]]</f>
        <v>-23</v>
      </c>
      <c r="M8">
        <v>47</v>
      </c>
      <c r="N8" s="1">
        <v>80.2</v>
      </c>
      <c r="O8" s="1">
        <v>6</v>
      </c>
      <c r="P8" s="1">
        <v>4.9000000000000004</v>
      </c>
      <c r="Q8" t="s">
        <v>129</v>
      </c>
      <c r="R8" s="1" t="s">
        <v>132</v>
      </c>
      <c r="S8" s="1" t="s">
        <v>136</v>
      </c>
      <c r="T8">
        <f>Table1[[#This Row],[Assignments Avg]]*0.1+Table1[[#This Row],[Midterm Score]]*0.3+Table1[[#This Row],[Final Exam Score]]*0.45+Table1[[#This Row],[Project Score]]*0.1</f>
        <v>56.99</v>
      </c>
      <c r="U8" t="str">
        <f>IF(Table1[[#This Row],[Final Score]]&gt;=80,"A",IF(Table1[[#This Row],[Final Score]]&gt;=70,"B",IF(Table1[[#This Row],[Final Score]]&gt;=60,"C",IF(Table1[[#This Row],[Final Score]]&gt;=50,"D","F"))))</f>
        <v>D</v>
      </c>
      <c r="V8" t="str">
        <f>IF(Table1[[#This Row],[Final Score]]&gt;=40,"Pass","Fail")</f>
        <v>Pass</v>
      </c>
      <c r="W8" t="str">
        <f>IF(OR(Table1[[#This Row],[Attendance]]&lt;75,Table1[[#This Row],[Final Score]]&lt;45),"At-risk","Ok")</f>
        <v>Ok</v>
      </c>
      <c r="X8" s="5" t="str">
        <f>IF(Table1[[#This Row],[Study Hours]]&lt;2,"Low Study","Normal")</f>
        <v>Normal</v>
      </c>
      <c r="Y8" s="3" t="s">
        <v>121</v>
      </c>
      <c r="Z8">
        <v>65.205833333333345</v>
      </c>
    </row>
    <row r="9" spans="1:28" x14ac:dyDescent="0.3">
      <c r="A9" t="s">
        <v>26</v>
      </c>
      <c r="B9" t="s">
        <v>76</v>
      </c>
      <c r="C9" t="str">
        <f>LEFT(Table1[[#This Row],[Name]],SEARCH(" ",Table1[[#This Row],[Name]])-1)</f>
        <v>Sneha</v>
      </c>
      <c r="D9" t="str">
        <f>RIGHT(Table1[[#This Row],[Name]],LEN(Table1[[#This Row],[Name]])-SEARCH(" ",Table1[[#This Row],[Name]]))</f>
        <v>More</v>
      </c>
      <c r="E9">
        <v>17</v>
      </c>
      <c r="F9" t="s">
        <v>117</v>
      </c>
      <c r="G9" t="s">
        <v>121</v>
      </c>
      <c r="H9" t="s">
        <v>122</v>
      </c>
      <c r="I9">
        <v>67.599999999999994</v>
      </c>
      <c r="J9">
        <v>75.099999999999994</v>
      </c>
      <c r="K9">
        <v>45.8</v>
      </c>
      <c r="L9">
        <f>Table1[[#This Row],[Final Exam Score]]-Table1[[#This Row],[Midterm Score]]</f>
        <v>23.100000000000009</v>
      </c>
      <c r="M9">
        <v>68.900000000000006</v>
      </c>
      <c r="N9" s="1">
        <v>47.8</v>
      </c>
      <c r="O9" s="1">
        <v>4</v>
      </c>
      <c r="P9" s="1">
        <v>2.9</v>
      </c>
      <c r="Q9" t="s">
        <v>125</v>
      </c>
      <c r="R9" s="1" t="s">
        <v>132</v>
      </c>
      <c r="S9" s="1" t="s">
        <v>137</v>
      </c>
      <c r="T9">
        <f>Table1[[#This Row],[Assignments Avg]]*0.1+Table1[[#This Row],[Midterm Score]]*0.3+Table1[[#This Row],[Final Exam Score]]*0.45+Table1[[#This Row],[Project Score]]*0.1</f>
        <v>57.035000000000004</v>
      </c>
      <c r="U9" t="str">
        <f>IF(Table1[[#This Row],[Final Score]]&gt;=80,"A",IF(Table1[[#This Row],[Final Score]]&gt;=70,"B",IF(Table1[[#This Row],[Final Score]]&gt;=60,"C",IF(Table1[[#This Row],[Final Score]]&gt;=50,"D","F"))))</f>
        <v>D</v>
      </c>
      <c r="V9" t="str">
        <f>IF(Table1[[#This Row],[Final Score]]&gt;=40,"Pass","Fail")</f>
        <v>Pass</v>
      </c>
      <c r="W9" t="str">
        <f>IF(OR(Table1[[#This Row],[Attendance]]&lt;75,Table1[[#This Row],[Final Score]]&lt;45),"At-risk","Ok")</f>
        <v>At-risk</v>
      </c>
      <c r="X9" s="5" t="str">
        <f>IF(Table1[[#This Row],[Study Hours]]&lt;2,"Low Study","Normal")</f>
        <v>Normal</v>
      </c>
      <c r="Y9" s="3" t="s">
        <v>120</v>
      </c>
      <c r="Z9">
        <v>66.813461538461539</v>
      </c>
    </row>
    <row r="10" spans="1:28" x14ac:dyDescent="0.3">
      <c r="A10" t="s">
        <v>27</v>
      </c>
      <c r="B10" t="s">
        <v>77</v>
      </c>
      <c r="C10" t="str">
        <f>LEFT(Table1[[#This Row],[Name]],SEARCH(" ",Table1[[#This Row],[Name]])-1)</f>
        <v>Neha</v>
      </c>
      <c r="D10" t="str">
        <f>RIGHT(Table1[[#This Row],[Name]],LEN(Table1[[#This Row],[Name]])-SEARCH(" ",Table1[[#This Row],[Name]]))</f>
        <v>Deshmukh</v>
      </c>
      <c r="E10">
        <v>17</v>
      </c>
      <c r="F10" t="s">
        <v>117</v>
      </c>
      <c r="G10" t="s">
        <v>120</v>
      </c>
      <c r="H10" t="s">
        <v>123</v>
      </c>
      <c r="I10">
        <v>68.900000000000006</v>
      </c>
      <c r="J10">
        <v>66.400000000000006</v>
      </c>
      <c r="K10" s="1">
        <v>51.6</v>
      </c>
      <c r="L10" s="1">
        <f>Table1[[#This Row],[Final Exam Score]]-Table1[[#This Row],[Midterm Score]]</f>
        <v>37.9</v>
      </c>
      <c r="M10">
        <v>89.5</v>
      </c>
      <c r="N10" s="1">
        <v>51.2</v>
      </c>
      <c r="O10">
        <v>5</v>
      </c>
      <c r="P10" s="1">
        <v>4.9000000000000004</v>
      </c>
      <c r="Q10" t="s">
        <v>126</v>
      </c>
      <c r="R10" s="1" t="s">
        <v>133</v>
      </c>
      <c r="S10" s="1" t="s">
        <v>138</v>
      </c>
      <c r="T10">
        <f>Table1[[#This Row],[Assignments Avg]]*0.1+Table1[[#This Row],[Midterm Score]]*0.3+Table1[[#This Row],[Final Exam Score]]*0.45+Table1[[#This Row],[Project Score]]*0.1</f>
        <v>67.515000000000001</v>
      </c>
      <c r="U10" t="str">
        <f>IF(Table1[[#This Row],[Final Score]]&gt;=80,"A",IF(Table1[[#This Row],[Final Score]]&gt;=70,"B",IF(Table1[[#This Row],[Final Score]]&gt;=60,"C",IF(Table1[[#This Row],[Final Score]]&gt;=50,"D","F"))))</f>
        <v>C</v>
      </c>
      <c r="V10" t="str">
        <f>IF(Table1[[#This Row],[Final Score]]&gt;=40,"Pass","Fail")</f>
        <v>Pass</v>
      </c>
      <c r="W10" t="str">
        <f>IF(OR(Table1[[#This Row],[Attendance]]&lt;75,Table1[[#This Row],[Final Score]]&lt;45),"At-risk","Ok")</f>
        <v>At-risk</v>
      </c>
      <c r="X10" s="5" t="str">
        <f>IF(Table1[[#This Row],[Study Hours]]&lt;2,"Low Study","Normal")</f>
        <v>Normal</v>
      </c>
      <c r="Y10" s="3" t="s">
        <v>140</v>
      </c>
      <c r="Z10">
        <v>66.041800000000009</v>
      </c>
    </row>
    <row r="11" spans="1:28" x14ac:dyDescent="0.3">
      <c r="A11" t="s">
        <v>28</v>
      </c>
      <c r="B11" t="s">
        <v>78</v>
      </c>
      <c r="C11" t="str">
        <f>LEFT(Table1[[#This Row],[Name]],SEARCH(" ",Table1[[#This Row],[Name]])-1)</f>
        <v>Aditya</v>
      </c>
      <c r="D11" t="str">
        <f>RIGHT(Table1[[#This Row],[Name]],LEN(Table1[[#This Row],[Name]])-SEARCH(" ",Table1[[#This Row],[Name]]))</f>
        <v>Thakur</v>
      </c>
      <c r="E11">
        <v>16</v>
      </c>
      <c r="F11" t="s">
        <v>119</v>
      </c>
      <c r="G11" t="s">
        <v>120</v>
      </c>
      <c r="H11" t="s">
        <v>122</v>
      </c>
      <c r="I11">
        <v>75.400000000000006</v>
      </c>
      <c r="J11">
        <v>89.5</v>
      </c>
      <c r="K11">
        <v>76.5</v>
      </c>
      <c r="L11">
        <f>Table1[[#This Row],[Final Exam Score]]-Table1[[#This Row],[Midterm Score]]</f>
        <v>3.4000000000000057</v>
      </c>
      <c r="M11">
        <v>79.900000000000006</v>
      </c>
      <c r="N11" s="1">
        <v>91.2</v>
      </c>
      <c r="O11">
        <v>1</v>
      </c>
      <c r="P11" s="1">
        <v>4.9000000000000004</v>
      </c>
      <c r="Q11" t="s">
        <v>127</v>
      </c>
      <c r="R11" t="s">
        <v>135</v>
      </c>
      <c r="S11" s="1" t="s">
        <v>136</v>
      </c>
      <c r="T11">
        <f>Table1[[#This Row],[Assignments Avg]]*0.1+Table1[[#This Row],[Midterm Score]]*0.3+Table1[[#This Row],[Final Exam Score]]*0.45+Table1[[#This Row],[Project Score]]*0.1</f>
        <v>76.975000000000009</v>
      </c>
      <c r="U11" t="str">
        <f>IF(Table1[[#This Row],[Final Score]]&gt;=80,"A",IF(Table1[[#This Row],[Final Score]]&gt;=70,"B",IF(Table1[[#This Row],[Final Score]]&gt;=60,"C",IF(Table1[[#This Row],[Final Score]]&gt;=50,"D","F"))))</f>
        <v>B</v>
      </c>
      <c r="V11" t="str">
        <f>IF(Table1[[#This Row],[Final Score]]&gt;=40,"Pass","Fail")</f>
        <v>Pass</v>
      </c>
      <c r="W11" t="str">
        <f>IF(OR(Table1[[#This Row],[Attendance]]&lt;75,Table1[[#This Row],[Final Score]]&lt;45),"At-risk","Ok")</f>
        <v>Ok</v>
      </c>
      <c r="X11" s="5" t="str">
        <f>IF(Table1[[#This Row],[Study Hours]]&lt;2,"Low Study","Normal")</f>
        <v>Normal</v>
      </c>
    </row>
    <row r="12" spans="1:28" x14ac:dyDescent="0.3">
      <c r="A12" t="s">
        <v>29</v>
      </c>
      <c r="B12" t="s">
        <v>79</v>
      </c>
      <c r="C12" t="str">
        <f>LEFT(Table1[[#This Row],[Name]],SEARCH(" ",Table1[[#This Row],[Name]])-1)</f>
        <v>Siddharth</v>
      </c>
      <c r="D12" t="str">
        <f>RIGHT(Table1[[#This Row],[Name]],LEN(Table1[[#This Row],[Name]])-SEARCH(" ",Table1[[#This Row],[Name]]))</f>
        <v>Gaikwad</v>
      </c>
      <c r="E12">
        <v>15</v>
      </c>
      <c r="F12" t="s">
        <v>118</v>
      </c>
      <c r="G12" t="s">
        <v>121</v>
      </c>
      <c r="H12" t="s">
        <v>124</v>
      </c>
      <c r="I12">
        <v>65.7</v>
      </c>
      <c r="J12">
        <v>47</v>
      </c>
      <c r="K12">
        <v>36.200000000000003</v>
      </c>
      <c r="L12">
        <f>Table1[[#This Row],[Final Exam Score]]-Table1[[#This Row],[Midterm Score]]</f>
        <v>-11.000000000000004</v>
      </c>
      <c r="M12">
        <v>25.2</v>
      </c>
      <c r="N12" s="1">
        <v>50.6</v>
      </c>
      <c r="O12">
        <v>7</v>
      </c>
      <c r="P12" s="1">
        <v>3.7</v>
      </c>
      <c r="Q12" t="s">
        <v>128</v>
      </c>
      <c r="R12" s="1" t="s">
        <v>131</v>
      </c>
      <c r="S12" s="1" t="s">
        <v>137</v>
      </c>
      <c r="T12">
        <f>Table1[[#This Row],[Assignments Avg]]*0.1+Table1[[#This Row],[Midterm Score]]*0.3+Table1[[#This Row],[Final Exam Score]]*0.45+Table1[[#This Row],[Project Score]]*0.1</f>
        <v>31.96</v>
      </c>
      <c r="U12" t="str">
        <f>IF(Table1[[#This Row],[Final Score]]&gt;=80,"A",IF(Table1[[#This Row],[Final Score]]&gt;=70,"B",IF(Table1[[#This Row],[Final Score]]&gt;=60,"C",IF(Table1[[#This Row],[Final Score]]&gt;=50,"D","F"))))</f>
        <v>F</v>
      </c>
      <c r="V12" t="str">
        <f>IF(Table1[[#This Row],[Final Score]]&gt;=40,"Pass","Fail")</f>
        <v>Fail</v>
      </c>
      <c r="W12" t="str">
        <f>IF(OR(Table1[[#This Row],[Attendance]]&lt;75,Table1[[#This Row],[Final Score]]&lt;45),"At-risk","Ok")</f>
        <v>At-risk</v>
      </c>
      <c r="X12" s="5" t="str">
        <f>IF(Table1[[#This Row],[Study Hours]]&lt;2,"Low Study","Normal")</f>
        <v>Normal</v>
      </c>
      <c r="Y12" s="2" t="s">
        <v>145</v>
      </c>
      <c r="Z12" s="2" t="s">
        <v>142</v>
      </c>
    </row>
    <row r="13" spans="1:28" x14ac:dyDescent="0.3">
      <c r="A13" t="s">
        <v>30</v>
      </c>
      <c r="B13" t="s">
        <v>80</v>
      </c>
      <c r="C13" t="str">
        <f>LEFT(Table1[[#This Row],[Name]],SEARCH(" ",Table1[[#This Row],[Name]])-1)</f>
        <v>Ankit</v>
      </c>
      <c r="D13" t="str">
        <f>RIGHT(Table1[[#This Row],[Name]],LEN(Table1[[#This Row],[Name]])-SEARCH(" ",Table1[[#This Row],[Name]]))</f>
        <v>Sharma</v>
      </c>
      <c r="E13">
        <v>17</v>
      </c>
      <c r="F13" t="s">
        <v>118</v>
      </c>
      <c r="G13" t="s">
        <v>121</v>
      </c>
      <c r="H13" t="s">
        <v>122</v>
      </c>
      <c r="I13">
        <v>83.8</v>
      </c>
      <c r="J13">
        <v>66.400000000000006</v>
      </c>
      <c r="K13" s="1">
        <v>67.3</v>
      </c>
      <c r="L13" s="1">
        <f>Table1[[#This Row],[Final Exam Score]]-Table1[[#This Row],[Midterm Score]]</f>
        <v>-6.7999999999999972</v>
      </c>
      <c r="M13">
        <v>60.5</v>
      </c>
      <c r="N13" s="1">
        <v>68.099999999999994</v>
      </c>
      <c r="O13">
        <v>3</v>
      </c>
      <c r="P13" s="1">
        <v>2.7</v>
      </c>
      <c r="Q13" t="s">
        <v>126</v>
      </c>
      <c r="R13" s="1" t="s">
        <v>134</v>
      </c>
      <c r="S13" s="1" t="s">
        <v>138</v>
      </c>
      <c r="T13">
        <f>Table1[[#This Row],[Assignments Avg]]*0.1+Table1[[#This Row],[Midterm Score]]*0.3+Table1[[#This Row],[Final Exam Score]]*0.45+Table1[[#This Row],[Project Score]]*0.1</f>
        <v>60.865000000000002</v>
      </c>
      <c r="U13" t="str">
        <f>IF(Table1[[#This Row],[Final Score]]&gt;=80,"A",IF(Table1[[#This Row],[Final Score]]&gt;=70,"B",IF(Table1[[#This Row],[Final Score]]&gt;=60,"C",IF(Table1[[#This Row],[Final Score]]&gt;=50,"D","F"))))</f>
        <v>C</v>
      </c>
      <c r="V13" t="str">
        <f>IF(Table1[[#This Row],[Final Score]]&gt;=40,"Pass","Fail")</f>
        <v>Pass</v>
      </c>
      <c r="W13" t="str">
        <f>IF(OR(Table1[[#This Row],[Attendance]]&lt;75,Table1[[#This Row],[Final Score]]&lt;45),"At-risk","Ok")</f>
        <v>Ok</v>
      </c>
      <c r="X13" s="5" t="str">
        <f>IF(Table1[[#This Row],[Study Hours]]&lt;2,"Low Study","Normal")</f>
        <v>Normal</v>
      </c>
      <c r="Y13" s="2" t="s">
        <v>139</v>
      </c>
      <c r="Z13" t="s">
        <v>143</v>
      </c>
      <c r="AA13" t="s">
        <v>144</v>
      </c>
      <c r="AB13" t="s">
        <v>140</v>
      </c>
    </row>
    <row r="14" spans="1:28" x14ac:dyDescent="0.3">
      <c r="A14" t="s">
        <v>31</v>
      </c>
      <c r="B14" t="s">
        <v>81</v>
      </c>
      <c r="C14" t="str">
        <f>LEFT(Table1[[#This Row],[Name]],SEARCH(" ",Table1[[#This Row],[Name]])-1)</f>
        <v>Sanjana</v>
      </c>
      <c r="D14" t="str">
        <f>RIGHT(Table1[[#This Row],[Name]],LEN(Table1[[#This Row],[Name]])-SEARCH(" ",Table1[[#This Row],[Name]]))</f>
        <v>Gaikwad</v>
      </c>
      <c r="E14">
        <v>16</v>
      </c>
      <c r="F14" t="s">
        <v>117</v>
      </c>
      <c r="G14" t="s">
        <v>120</v>
      </c>
      <c r="H14" t="s">
        <v>123</v>
      </c>
      <c r="I14">
        <v>75.099999999999994</v>
      </c>
      <c r="J14">
        <v>36.5</v>
      </c>
      <c r="K14" s="1">
        <v>51.6</v>
      </c>
      <c r="L14" s="1">
        <f>Table1[[#This Row],[Final Exam Score]]-Table1[[#This Row],[Midterm Score]]</f>
        <v>24.9</v>
      </c>
      <c r="M14">
        <v>76.5</v>
      </c>
      <c r="N14" s="1">
        <v>91.2</v>
      </c>
      <c r="O14" s="1">
        <v>3</v>
      </c>
      <c r="P14" s="1">
        <v>7.5</v>
      </c>
      <c r="Q14" t="s">
        <v>129</v>
      </c>
      <c r="R14" s="1" t="s">
        <v>131</v>
      </c>
      <c r="S14" s="1" t="s">
        <v>138</v>
      </c>
      <c r="T14">
        <f>Table1[[#This Row],[Assignments Avg]]*0.1+Table1[[#This Row],[Midterm Score]]*0.3+Table1[[#This Row],[Final Exam Score]]*0.45+Table1[[#This Row],[Project Score]]*0.1</f>
        <v>62.675000000000011</v>
      </c>
      <c r="U14" t="str">
        <f>IF(Table1[[#This Row],[Final Score]]&gt;=80,"A",IF(Table1[[#This Row],[Final Score]]&gt;=70,"B",IF(Table1[[#This Row],[Final Score]]&gt;=60,"C",IF(Table1[[#This Row],[Final Score]]&gt;=50,"D","F"))))</f>
        <v>C</v>
      </c>
      <c r="V14" t="str">
        <f>IF(Table1[[#This Row],[Final Score]]&gt;=40,"Pass","Fail")</f>
        <v>Pass</v>
      </c>
      <c r="W14" t="str">
        <f>IF(OR(Table1[[#This Row],[Attendance]]&lt;75,Table1[[#This Row],[Final Score]]&lt;45),"At-risk","Ok")</f>
        <v>Ok</v>
      </c>
      <c r="X14" s="5" t="str">
        <f>IF(Table1[[#This Row],[Study Hours]]&lt;2,"Low Study","Normal")</f>
        <v>Normal</v>
      </c>
      <c r="Y14" s="3" t="s">
        <v>122</v>
      </c>
      <c r="AA14">
        <v>22</v>
      </c>
      <c r="AB14">
        <v>22</v>
      </c>
    </row>
    <row r="15" spans="1:28" x14ac:dyDescent="0.3">
      <c r="A15" t="s">
        <v>32</v>
      </c>
      <c r="B15" t="s">
        <v>82</v>
      </c>
      <c r="C15" t="str">
        <f>LEFT(Table1[[#This Row],[Name]],SEARCH(" ",Table1[[#This Row],[Name]])-1)</f>
        <v>Aryan</v>
      </c>
      <c r="D15" t="str">
        <f>RIGHT(Table1[[#This Row],[Name]],LEN(Table1[[#This Row],[Name]])-SEARCH(" ",Table1[[#This Row],[Name]]))</f>
        <v>Pawar</v>
      </c>
      <c r="E15">
        <v>15</v>
      </c>
      <c r="F15" t="s">
        <v>118</v>
      </c>
      <c r="G15" t="s">
        <v>120</v>
      </c>
      <c r="H15" t="s">
        <v>124</v>
      </c>
      <c r="I15">
        <v>67</v>
      </c>
      <c r="J15">
        <v>50.7</v>
      </c>
      <c r="K15" s="1">
        <v>33.9</v>
      </c>
      <c r="L15" s="1">
        <f>Table1[[#This Row],[Final Exam Score]]-Table1[[#This Row],[Midterm Score]]</f>
        <v>34.300000000000004</v>
      </c>
      <c r="M15">
        <v>68.2</v>
      </c>
      <c r="N15" s="1">
        <v>77.900000000000006</v>
      </c>
      <c r="O15" s="1">
        <v>5</v>
      </c>
      <c r="P15" s="1">
        <v>4.9000000000000004</v>
      </c>
      <c r="Q15" t="s">
        <v>129</v>
      </c>
      <c r="R15" s="1" t="s">
        <v>131</v>
      </c>
      <c r="S15" s="1" t="s">
        <v>136</v>
      </c>
      <c r="T15">
        <f>Table1[[#This Row],[Assignments Avg]]*0.1+Table1[[#This Row],[Midterm Score]]*0.3+Table1[[#This Row],[Final Exam Score]]*0.45+Table1[[#This Row],[Project Score]]*0.1</f>
        <v>53.72</v>
      </c>
      <c r="U15" t="str">
        <f>IF(Table1[[#This Row],[Final Score]]&gt;=80,"A",IF(Table1[[#This Row],[Final Score]]&gt;=70,"B",IF(Table1[[#This Row],[Final Score]]&gt;=60,"C",IF(Table1[[#This Row],[Final Score]]&gt;=50,"D","F"))))</f>
        <v>D</v>
      </c>
      <c r="V15" t="str">
        <f>IF(Table1[[#This Row],[Final Score]]&gt;=40,"Pass","Fail")</f>
        <v>Pass</v>
      </c>
      <c r="W15" t="str">
        <f>IF(OR(Table1[[#This Row],[Attendance]]&lt;75,Table1[[#This Row],[Final Score]]&lt;45),"At-risk","Ok")</f>
        <v>At-risk</v>
      </c>
      <c r="X15" s="5" t="str">
        <f>IF(Table1[[#This Row],[Study Hours]]&lt;2,"Low Study","Normal")</f>
        <v>Normal</v>
      </c>
      <c r="Y15" s="3" t="s">
        <v>123</v>
      </c>
      <c r="AA15">
        <v>14</v>
      </c>
      <c r="AB15">
        <v>14</v>
      </c>
    </row>
    <row r="16" spans="1:28" x14ac:dyDescent="0.3">
      <c r="A16" t="s">
        <v>33</v>
      </c>
      <c r="B16" t="s">
        <v>98</v>
      </c>
      <c r="C16" t="str">
        <f>LEFT(Table1[[#This Row],[Name]],SEARCH(" ",Table1[[#This Row],[Name]])-1)</f>
        <v>Sneha</v>
      </c>
      <c r="D16" t="str">
        <f>RIGHT(Table1[[#This Row],[Name]],LEN(Table1[[#This Row],[Name]])-SEARCH(" ",Table1[[#This Row],[Name]]))</f>
        <v>Kadam</v>
      </c>
      <c r="E16">
        <v>16</v>
      </c>
      <c r="F16" t="s">
        <v>117</v>
      </c>
      <c r="G16" t="s">
        <v>121</v>
      </c>
      <c r="H16" t="s">
        <v>122</v>
      </c>
      <c r="I16">
        <v>92.2</v>
      </c>
      <c r="J16">
        <v>76.5</v>
      </c>
      <c r="K16" s="1">
        <v>74.400000000000006</v>
      </c>
      <c r="L16" s="1">
        <f>Table1[[#This Row],[Final Exam Score]]-Table1[[#This Row],[Midterm Score]]</f>
        <v>12.299999999999997</v>
      </c>
      <c r="M16">
        <v>86.7</v>
      </c>
      <c r="N16" s="1">
        <v>68.099999999999994</v>
      </c>
      <c r="O16" s="1">
        <v>7</v>
      </c>
      <c r="P16" s="1">
        <v>2.6</v>
      </c>
      <c r="Q16" t="s">
        <v>130</v>
      </c>
      <c r="R16" s="1" t="s">
        <v>133</v>
      </c>
      <c r="S16" s="1" t="s">
        <v>137</v>
      </c>
      <c r="T16">
        <f>Table1[[#This Row],[Assignments Avg]]*0.1+Table1[[#This Row],[Midterm Score]]*0.3+Table1[[#This Row],[Final Exam Score]]*0.45+Table1[[#This Row],[Project Score]]*0.1</f>
        <v>75.795000000000002</v>
      </c>
      <c r="U16" t="str">
        <f>IF(Table1[[#This Row],[Final Score]]&gt;=80,"A",IF(Table1[[#This Row],[Final Score]]&gt;=70,"B",IF(Table1[[#This Row],[Final Score]]&gt;=60,"C",IF(Table1[[#This Row],[Final Score]]&gt;=50,"D","F"))))</f>
        <v>B</v>
      </c>
      <c r="V16" t="str">
        <f>IF(Table1[[#This Row],[Final Score]]&gt;=40,"Pass","Fail")</f>
        <v>Pass</v>
      </c>
      <c r="W16" t="str">
        <f>IF(OR(Table1[[#This Row],[Attendance]]&lt;75,Table1[[#This Row],[Final Score]]&lt;45),"At-risk","Ok")</f>
        <v>Ok</v>
      </c>
      <c r="X16" s="5" t="str">
        <f>IF(Table1[[#This Row],[Study Hours]]&lt;2,"Low Study","Normal")</f>
        <v>Normal</v>
      </c>
      <c r="Y16" s="3" t="s">
        <v>124</v>
      </c>
      <c r="Z16">
        <v>1</v>
      </c>
      <c r="AA16">
        <v>13</v>
      </c>
      <c r="AB16">
        <v>14</v>
      </c>
    </row>
    <row r="17" spans="1:28" x14ac:dyDescent="0.3">
      <c r="A17" t="s">
        <v>34</v>
      </c>
      <c r="B17" t="s">
        <v>83</v>
      </c>
      <c r="C17" t="str">
        <f>LEFT(Table1[[#This Row],[Name]],SEARCH(" ",Table1[[#This Row],[Name]])-1)</f>
        <v>Manish</v>
      </c>
      <c r="D17" t="str">
        <f>RIGHT(Table1[[#This Row],[Name]],LEN(Table1[[#This Row],[Name]])-SEARCH(" ",Table1[[#This Row],[Name]]))</f>
        <v>Rane</v>
      </c>
      <c r="E17">
        <v>16</v>
      </c>
      <c r="F17" t="s">
        <v>118</v>
      </c>
      <c r="G17" t="s">
        <v>121</v>
      </c>
      <c r="H17" t="s">
        <v>123</v>
      </c>
      <c r="I17">
        <v>79.900000000000006</v>
      </c>
      <c r="J17">
        <v>68.900000000000006</v>
      </c>
      <c r="K17">
        <v>85</v>
      </c>
      <c r="L17">
        <f>Table1[[#This Row],[Final Exam Score]]-Table1[[#This Row],[Midterm Score]]</f>
        <v>4.5</v>
      </c>
      <c r="M17">
        <v>89.5</v>
      </c>
      <c r="N17" s="1">
        <v>82.3</v>
      </c>
      <c r="O17" s="1">
        <v>9</v>
      </c>
      <c r="P17" s="1">
        <v>1.5</v>
      </c>
      <c r="Q17" t="s">
        <v>126</v>
      </c>
      <c r="R17" s="1" t="s">
        <v>134</v>
      </c>
      <c r="S17" s="1" t="s">
        <v>136</v>
      </c>
      <c r="T17">
        <f>Table1[[#This Row],[Assignments Avg]]*0.1+Table1[[#This Row],[Midterm Score]]*0.3+Table1[[#This Row],[Final Exam Score]]*0.45+Table1[[#This Row],[Project Score]]*0.1</f>
        <v>80.894999999999996</v>
      </c>
      <c r="U17" t="str">
        <f>IF(Table1[[#This Row],[Final Score]]&gt;=80,"A",IF(Table1[[#This Row],[Final Score]]&gt;=70,"B",IF(Table1[[#This Row],[Final Score]]&gt;=60,"C",IF(Table1[[#This Row],[Final Score]]&gt;=50,"D","F"))))</f>
        <v>A</v>
      </c>
      <c r="V17" t="str">
        <f>IF(Table1[[#This Row],[Final Score]]&gt;=40,"Pass","Fail")</f>
        <v>Pass</v>
      </c>
      <c r="W17" t="str">
        <f>IF(OR(Table1[[#This Row],[Attendance]]&lt;75,Table1[[#This Row],[Final Score]]&lt;45),"At-risk","Ok")</f>
        <v>Ok</v>
      </c>
      <c r="X17" s="5" t="str">
        <f>IF(Table1[[#This Row],[Study Hours]]&lt;2,"Low Study","Normal")</f>
        <v>Low Study</v>
      </c>
      <c r="Y17" s="3" t="s">
        <v>140</v>
      </c>
      <c r="Z17">
        <v>1</v>
      </c>
      <c r="AA17">
        <v>49</v>
      </c>
      <c r="AB17">
        <v>50</v>
      </c>
    </row>
    <row r="18" spans="1:28" x14ac:dyDescent="0.3">
      <c r="A18" t="s">
        <v>35</v>
      </c>
      <c r="B18" t="s">
        <v>84</v>
      </c>
      <c r="C18" t="str">
        <f>LEFT(Table1[[#This Row],[Name]],SEARCH(" ",Table1[[#This Row],[Name]])-1)</f>
        <v>Kunal</v>
      </c>
      <c r="D18" t="str">
        <f>RIGHT(Table1[[#This Row],[Name]],LEN(Table1[[#This Row],[Name]])-SEARCH(" ",Table1[[#This Row],[Name]]))</f>
        <v>Shinde</v>
      </c>
      <c r="E18">
        <v>17</v>
      </c>
      <c r="F18" t="s">
        <v>119</v>
      </c>
      <c r="G18" t="s">
        <v>120</v>
      </c>
      <c r="H18" t="s">
        <v>122</v>
      </c>
      <c r="I18">
        <v>95.5</v>
      </c>
      <c r="J18">
        <v>44.5</v>
      </c>
      <c r="K18">
        <v>45.8</v>
      </c>
      <c r="L18">
        <f>Table1[[#This Row],[Final Exam Score]]-Table1[[#This Row],[Midterm Score]]</f>
        <v>40.900000000000006</v>
      </c>
      <c r="M18">
        <v>86.7</v>
      </c>
      <c r="N18" s="1">
        <v>50.6</v>
      </c>
      <c r="O18" s="1">
        <v>6</v>
      </c>
      <c r="P18" s="1">
        <v>4.9000000000000004</v>
      </c>
      <c r="Q18" t="s">
        <v>127</v>
      </c>
      <c r="R18" s="1" t="s">
        <v>132</v>
      </c>
      <c r="S18" s="1" t="s">
        <v>137</v>
      </c>
      <c r="T18">
        <f>Table1[[#This Row],[Assignments Avg]]*0.1+Table1[[#This Row],[Midterm Score]]*0.3+Table1[[#This Row],[Final Exam Score]]*0.45+Table1[[#This Row],[Project Score]]*0.1</f>
        <v>62.265000000000001</v>
      </c>
      <c r="U18" t="str">
        <f>IF(Table1[[#This Row],[Final Score]]&gt;=80,"A",IF(Table1[[#This Row],[Final Score]]&gt;=70,"B",IF(Table1[[#This Row],[Final Score]]&gt;=60,"C",IF(Table1[[#This Row],[Final Score]]&gt;=50,"D","F"))))</f>
        <v>C</v>
      </c>
      <c r="V18" t="str">
        <f>IF(Table1[[#This Row],[Final Score]]&gt;=40,"Pass","Fail")</f>
        <v>Pass</v>
      </c>
      <c r="W18" t="str">
        <f>IF(OR(Table1[[#This Row],[Attendance]]&lt;75,Table1[[#This Row],[Final Score]]&lt;45),"At-risk","Ok")</f>
        <v>Ok</v>
      </c>
      <c r="X18" s="5" t="str">
        <f>IF(Table1[[#This Row],[Study Hours]]&lt;2,"Low Study","Normal")</f>
        <v>Normal</v>
      </c>
    </row>
    <row r="19" spans="1:28" x14ac:dyDescent="0.3">
      <c r="A19" t="s">
        <v>36</v>
      </c>
      <c r="B19" t="s">
        <v>85</v>
      </c>
      <c r="C19" t="str">
        <f>LEFT(Table1[[#This Row],[Name]],SEARCH(" ",Table1[[#This Row],[Name]])-1)</f>
        <v>Kavya</v>
      </c>
      <c r="D19" t="str">
        <f>RIGHT(Table1[[#This Row],[Name]],LEN(Table1[[#This Row],[Name]])-SEARCH(" ",Table1[[#This Row],[Name]]))</f>
        <v>More</v>
      </c>
      <c r="E19">
        <v>15</v>
      </c>
      <c r="F19" t="s">
        <v>117</v>
      </c>
      <c r="G19" t="s">
        <v>120</v>
      </c>
      <c r="H19" t="s">
        <v>124</v>
      </c>
      <c r="I19">
        <v>94.9</v>
      </c>
      <c r="J19">
        <v>25.2</v>
      </c>
      <c r="K19">
        <v>76.5</v>
      </c>
      <c r="L19">
        <f>Table1[[#This Row],[Final Exam Score]]-Table1[[#This Row],[Midterm Score]]</f>
        <v>13</v>
      </c>
      <c r="M19">
        <v>89.5</v>
      </c>
      <c r="N19" s="1">
        <v>76.900000000000006</v>
      </c>
      <c r="O19" s="1">
        <v>4</v>
      </c>
      <c r="P19" s="1">
        <v>3</v>
      </c>
      <c r="Q19" t="s">
        <v>128</v>
      </c>
      <c r="R19" s="1" t="s">
        <v>131</v>
      </c>
      <c r="S19" s="1" t="s">
        <v>138</v>
      </c>
      <c r="T19">
        <f>Table1[[#This Row],[Assignments Avg]]*0.1+Table1[[#This Row],[Midterm Score]]*0.3+Table1[[#This Row],[Final Exam Score]]*0.45+Table1[[#This Row],[Project Score]]*0.1</f>
        <v>73.435000000000002</v>
      </c>
      <c r="U19" t="str">
        <f>IF(Table1[[#This Row],[Final Score]]&gt;=80,"A",IF(Table1[[#This Row],[Final Score]]&gt;=70,"B",IF(Table1[[#This Row],[Final Score]]&gt;=60,"C",IF(Table1[[#This Row],[Final Score]]&gt;=50,"D","F"))))</f>
        <v>B</v>
      </c>
      <c r="V19" t="str">
        <f>IF(Table1[[#This Row],[Final Score]]&gt;=40,"Pass","Fail")</f>
        <v>Pass</v>
      </c>
      <c r="W19" t="str">
        <f>IF(OR(Table1[[#This Row],[Attendance]]&lt;75,Table1[[#This Row],[Final Score]]&lt;45),"At-risk","Ok")</f>
        <v>Ok</v>
      </c>
      <c r="X19" s="5" t="str">
        <f>IF(Table1[[#This Row],[Study Hours]]&lt;2,"Low Study","Normal")</f>
        <v>Normal</v>
      </c>
      <c r="Y19" s="2" t="s">
        <v>139</v>
      </c>
      <c r="Z19" t="s">
        <v>146</v>
      </c>
    </row>
    <row r="20" spans="1:28" x14ac:dyDescent="0.3">
      <c r="A20" t="s">
        <v>37</v>
      </c>
      <c r="B20" t="s">
        <v>86</v>
      </c>
      <c r="C20" t="str">
        <f>LEFT(Table1[[#This Row],[Name]],SEARCH(" ",Table1[[#This Row],[Name]])-1)</f>
        <v>Abhishek</v>
      </c>
      <c r="D20" t="str">
        <f>RIGHT(Table1[[#This Row],[Name]],LEN(Table1[[#This Row],[Name]])-SEARCH(" ",Table1[[#This Row],[Name]]))</f>
        <v>Sharma</v>
      </c>
      <c r="E20">
        <v>17</v>
      </c>
      <c r="F20" t="s">
        <v>118</v>
      </c>
      <c r="G20" t="s">
        <v>121</v>
      </c>
      <c r="H20" t="s">
        <v>122</v>
      </c>
      <c r="I20">
        <v>61.8</v>
      </c>
      <c r="J20">
        <v>51.3</v>
      </c>
      <c r="K20">
        <v>25.2</v>
      </c>
      <c r="L20">
        <f>Table1[[#This Row],[Final Exam Score]]-Table1[[#This Row],[Midterm Score]]</f>
        <v>67</v>
      </c>
      <c r="M20">
        <v>92.2</v>
      </c>
      <c r="N20" s="1">
        <v>61.5</v>
      </c>
      <c r="O20">
        <v>2</v>
      </c>
      <c r="P20" s="1">
        <v>5.3</v>
      </c>
      <c r="Q20" t="s">
        <v>126</v>
      </c>
      <c r="R20" s="1" t="s">
        <v>132</v>
      </c>
      <c r="S20" s="1" t="s">
        <v>136</v>
      </c>
      <c r="T20">
        <f>Table1[[#This Row],[Assignments Avg]]*0.1+Table1[[#This Row],[Midterm Score]]*0.3+Table1[[#This Row],[Final Exam Score]]*0.45+Table1[[#This Row],[Project Score]]*0.1</f>
        <v>60.33</v>
      </c>
      <c r="U20" t="str">
        <f>IF(Table1[[#This Row],[Final Score]]&gt;=80,"A",IF(Table1[[#This Row],[Final Score]]&gt;=70,"B",IF(Table1[[#This Row],[Final Score]]&gt;=60,"C",IF(Table1[[#This Row],[Final Score]]&gt;=50,"D","F"))))</f>
        <v>C</v>
      </c>
      <c r="V20" t="str">
        <f>IF(Table1[[#This Row],[Final Score]]&gt;=40,"Pass","Fail")</f>
        <v>Pass</v>
      </c>
      <c r="W20" t="str">
        <f>IF(OR(Table1[[#This Row],[Attendance]]&lt;75,Table1[[#This Row],[Final Score]]&lt;45),"At-risk","Ok")</f>
        <v>At-risk</v>
      </c>
      <c r="X20" s="5" t="str">
        <f>IF(Table1[[#This Row],[Study Hours]]&lt;2,"Low Study","Normal")</f>
        <v>Normal</v>
      </c>
      <c r="Y20" s="3" t="s">
        <v>117</v>
      </c>
      <c r="Z20">
        <v>74.66</v>
      </c>
    </row>
    <row r="21" spans="1:28" x14ac:dyDescent="0.3">
      <c r="A21" t="s">
        <v>38</v>
      </c>
      <c r="B21" t="s">
        <v>87</v>
      </c>
      <c r="C21" t="str">
        <f>LEFT(Table1[[#This Row],[Name]],SEARCH(" ",Table1[[#This Row],[Name]])-1)</f>
        <v>Sanjana</v>
      </c>
      <c r="D21" t="str">
        <f>RIGHT(Table1[[#This Row],[Name]],LEN(Table1[[#This Row],[Name]])-SEARCH(" ",Table1[[#This Row],[Name]]))</f>
        <v>Deshmukh</v>
      </c>
      <c r="E21">
        <v>16</v>
      </c>
      <c r="F21" t="s">
        <v>117</v>
      </c>
      <c r="G21" t="s">
        <v>121</v>
      </c>
      <c r="H21" t="s">
        <v>123</v>
      </c>
      <c r="I21">
        <v>85</v>
      </c>
      <c r="J21">
        <v>86.7</v>
      </c>
      <c r="K21" s="1">
        <v>33.9</v>
      </c>
      <c r="L21" s="1">
        <f>Table1[[#This Row],[Final Exam Score]]-Table1[[#This Row],[Midterm Score]]</f>
        <v>46.000000000000007</v>
      </c>
      <c r="M21">
        <v>79.900000000000006</v>
      </c>
      <c r="N21" s="1">
        <v>91.2</v>
      </c>
      <c r="O21">
        <v>5</v>
      </c>
      <c r="P21" s="1">
        <v>1.6</v>
      </c>
      <c r="Q21" t="s">
        <v>129</v>
      </c>
      <c r="R21" s="1" t="s">
        <v>132</v>
      </c>
      <c r="S21" s="1" t="s">
        <v>137</v>
      </c>
      <c r="T21">
        <f>Table1[[#This Row],[Assignments Avg]]*0.1+Table1[[#This Row],[Midterm Score]]*0.3+Table1[[#This Row],[Final Exam Score]]*0.45+Table1[[#This Row],[Project Score]]*0.1</f>
        <v>63.915000000000006</v>
      </c>
      <c r="U21" t="str">
        <f>IF(Table1[[#This Row],[Final Score]]&gt;=80,"A",IF(Table1[[#This Row],[Final Score]]&gt;=70,"B",IF(Table1[[#This Row],[Final Score]]&gt;=60,"C",IF(Table1[[#This Row],[Final Score]]&gt;=50,"D","F"))))</f>
        <v>C</v>
      </c>
      <c r="V21" t="str">
        <f>IF(Table1[[#This Row],[Final Score]]&gt;=40,"Pass","Fail")</f>
        <v>Pass</v>
      </c>
      <c r="W21" t="str">
        <f>IF(OR(Table1[[#This Row],[Attendance]]&lt;75,Table1[[#This Row],[Final Score]]&lt;45),"At-risk","Ok")</f>
        <v>Ok</v>
      </c>
      <c r="X21" s="5" t="str">
        <f>IF(Table1[[#This Row],[Study Hours]]&lt;2,"Low Study","Normal")</f>
        <v>Low Study</v>
      </c>
      <c r="Y21" s="3" t="s">
        <v>118</v>
      </c>
      <c r="Z21">
        <v>69.076666666666668</v>
      </c>
    </row>
    <row r="22" spans="1:28" x14ac:dyDescent="0.3">
      <c r="A22" t="s">
        <v>39</v>
      </c>
      <c r="B22" t="s">
        <v>88</v>
      </c>
      <c r="C22" t="str">
        <f>LEFT(Table1[[#This Row],[Name]],SEARCH(" ",Table1[[#This Row],[Name]])-1)</f>
        <v>Yash</v>
      </c>
      <c r="D22" t="str">
        <f>RIGHT(Table1[[#This Row],[Name]],LEN(Table1[[#This Row],[Name]])-SEARCH(" ",Table1[[#This Row],[Name]]))</f>
        <v>Sharma</v>
      </c>
      <c r="E22">
        <v>15</v>
      </c>
      <c r="F22" t="s">
        <v>118</v>
      </c>
      <c r="G22" t="s">
        <v>120</v>
      </c>
      <c r="H22" t="s">
        <v>124</v>
      </c>
      <c r="I22">
        <v>51.3</v>
      </c>
      <c r="J22">
        <v>68.2</v>
      </c>
      <c r="K22">
        <v>90</v>
      </c>
      <c r="L22">
        <f>Table1[[#This Row],[Final Exam Score]]-Table1[[#This Row],[Midterm Score]]</f>
        <v>5.5</v>
      </c>
      <c r="M22">
        <v>95.5</v>
      </c>
      <c r="N22" s="1">
        <v>44.5</v>
      </c>
      <c r="O22">
        <v>6</v>
      </c>
      <c r="P22" s="1">
        <v>1.4</v>
      </c>
      <c r="Q22" t="s">
        <v>129</v>
      </c>
      <c r="R22" s="1" t="s">
        <v>133</v>
      </c>
      <c r="S22" s="1" t="s">
        <v>138</v>
      </c>
      <c r="T22">
        <f>Table1[[#This Row],[Assignments Avg]]*0.1+Table1[[#This Row],[Midterm Score]]*0.3+Table1[[#This Row],[Final Exam Score]]*0.45+Table1[[#This Row],[Project Score]]*0.1</f>
        <v>81.245000000000005</v>
      </c>
      <c r="U22" t="str">
        <f>IF(Table1[[#This Row],[Final Score]]&gt;=80,"A",IF(Table1[[#This Row],[Final Score]]&gt;=70,"B",IF(Table1[[#This Row],[Final Score]]&gt;=60,"C",IF(Table1[[#This Row],[Final Score]]&gt;=50,"D","F"))))</f>
        <v>A</v>
      </c>
      <c r="V22" t="str">
        <f>IF(Table1[[#This Row],[Final Score]]&gt;=40,"Pass","Fail")</f>
        <v>Pass</v>
      </c>
      <c r="W22" t="str">
        <f>IF(OR(Table1[[#This Row],[Attendance]]&lt;75,Table1[[#This Row],[Final Score]]&lt;45),"At-risk","Ok")</f>
        <v>At-risk</v>
      </c>
      <c r="X22" s="5" t="str">
        <f>IF(Table1[[#This Row],[Study Hours]]&lt;2,"Low Study","Normal")</f>
        <v>Low Study</v>
      </c>
      <c r="Y22" s="3" t="s">
        <v>140</v>
      </c>
      <c r="Z22">
        <v>71.31</v>
      </c>
    </row>
    <row r="23" spans="1:28" x14ac:dyDescent="0.3">
      <c r="A23" t="s">
        <v>40</v>
      </c>
      <c r="B23" t="s">
        <v>89</v>
      </c>
      <c r="C23" t="str">
        <f>LEFT(Table1[[#This Row],[Name]],SEARCH(" ",Table1[[#This Row],[Name]])-1)</f>
        <v>Siddharth</v>
      </c>
      <c r="D23" t="str">
        <f>RIGHT(Table1[[#This Row],[Name]],LEN(Table1[[#This Row],[Name]])-SEARCH(" ",Table1[[#This Row],[Name]]))</f>
        <v>Jadhav</v>
      </c>
      <c r="E23">
        <v>15</v>
      </c>
      <c r="F23" t="s">
        <v>118</v>
      </c>
      <c r="G23" t="s">
        <v>120</v>
      </c>
      <c r="H23" t="s">
        <v>122</v>
      </c>
      <c r="I23">
        <v>50.7</v>
      </c>
      <c r="J23">
        <v>83.8</v>
      </c>
      <c r="K23" s="1">
        <v>51.6</v>
      </c>
      <c r="L23" s="1">
        <f>Table1[[#This Row],[Final Exam Score]]-Table1[[#This Row],[Midterm Score]]</f>
        <v>43.300000000000004</v>
      </c>
      <c r="M23">
        <v>94.9</v>
      </c>
      <c r="N23" s="1">
        <v>63.9</v>
      </c>
      <c r="O23">
        <v>8</v>
      </c>
      <c r="P23" s="1">
        <v>2.2000000000000002</v>
      </c>
      <c r="Q23" t="s">
        <v>130</v>
      </c>
      <c r="R23" t="s">
        <v>135</v>
      </c>
      <c r="S23" s="1" t="s">
        <v>138</v>
      </c>
      <c r="T23">
        <f>Table1[[#This Row],[Assignments Avg]]*0.1+Table1[[#This Row],[Midterm Score]]*0.3+Table1[[#This Row],[Final Exam Score]]*0.45+Table1[[#This Row],[Project Score]]*0.1</f>
        <v>72.954999999999998</v>
      </c>
      <c r="U23" t="str">
        <f>IF(Table1[[#This Row],[Final Score]]&gt;=80,"A",IF(Table1[[#This Row],[Final Score]]&gt;=70,"B",IF(Table1[[#This Row],[Final Score]]&gt;=60,"C",IF(Table1[[#This Row],[Final Score]]&gt;=50,"D","F"))))</f>
        <v>B</v>
      </c>
      <c r="V23" t="str">
        <f>IF(Table1[[#This Row],[Final Score]]&gt;=40,"Pass","Fail")</f>
        <v>Pass</v>
      </c>
      <c r="W23" t="str">
        <f>IF(OR(Table1[[#This Row],[Attendance]]&lt;75,Table1[[#This Row],[Final Score]]&lt;45),"At-risk","Ok")</f>
        <v>At-risk</v>
      </c>
      <c r="X23" s="5" t="str">
        <f>IF(Table1[[#This Row],[Study Hours]]&lt;2,"Low Study","Normal")</f>
        <v>Normal</v>
      </c>
    </row>
    <row r="24" spans="1:28" x14ac:dyDescent="0.3">
      <c r="A24" t="s">
        <v>41</v>
      </c>
      <c r="B24" t="s">
        <v>90</v>
      </c>
      <c r="C24" t="str">
        <f>LEFT(Table1[[#This Row],[Name]],SEARCH(" ",Table1[[#This Row],[Name]])-1)</f>
        <v>Riya</v>
      </c>
      <c r="D24" t="str">
        <f>RIGHT(Table1[[#This Row],[Name]],LEN(Table1[[#This Row],[Name]])-SEARCH(" ",Table1[[#This Row],[Name]]))</f>
        <v>Singh</v>
      </c>
      <c r="E24">
        <v>18</v>
      </c>
      <c r="F24" t="s">
        <v>117</v>
      </c>
      <c r="G24" t="s">
        <v>121</v>
      </c>
      <c r="H24" t="s">
        <v>123</v>
      </c>
      <c r="I24">
        <v>56.9</v>
      </c>
      <c r="J24">
        <v>89.5</v>
      </c>
      <c r="K24">
        <v>87.4</v>
      </c>
      <c r="L24">
        <f>Table1[[#This Row],[Final Exam Score]]-Table1[[#This Row],[Midterm Score]]</f>
        <v>-25.600000000000009</v>
      </c>
      <c r="M24">
        <v>61.8</v>
      </c>
      <c r="N24" s="1">
        <v>68.099999999999994</v>
      </c>
      <c r="O24" s="1">
        <v>3</v>
      </c>
      <c r="P24" s="1">
        <v>2.7</v>
      </c>
      <c r="Q24" t="s">
        <v>126</v>
      </c>
      <c r="R24" s="1" t="s">
        <v>131</v>
      </c>
      <c r="S24" s="1" t="s">
        <v>136</v>
      </c>
      <c r="T24">
        <f>Table1[[#This Row],[Assignments Avg]]*0.1+Table1[[#This Row],[Midterm Score]]*0.3+Table1[[#This Row],[Final Exam Score]]*0.45+Table1[[#This Row],[Project Score]]*0.1</f>
        <v>69.790000000000006</v>
      </c>
      <c r="U24" t="str">
        <f>IF(Table1[[#This Row],[Final Score]]&gt;=80,"A",IF(Table1[[#This Row],[Final Score]]&gt;=70,"B",IF(Table1[[#This Row],[Final Score]]&gt;=60,"C",IF(Table1[[#This Row],[Final Score]]&gt;=50,"D","F"))))</f>
        <v>C</v>
      </c>
      <c r="V24" t="str">
        <f>IF(Table1[[#This Row],[Final Score]]&gt;=40,"Pass","Fail")</f>
        <v>Pass</v>
      </c>
      <c r="W24" t="str">
        <f>IF(OR(Table1[[#This Row],[Attendance]]&lt;75,Table1[[#This Row],[Final Score]]&lt;45),"At-risk","Ok")</f>
        <v>At-risk</v>
      </c>
      <c r="X24" s="5" t="str">
        <f>IF(Table1[[#This Row],[Study Hours]]&lt;2,"Low Study","Normal")</f>
        <v>Normal</v>
      </c>
      <c r="Y24" s="2" t="s">
        <v>139</v>
      </c>
      <c r="Z24" t="s">
        <v>149</v>
      </c>
    </row>
    <row r="25" spans="1:28" x14ac:dyDescent="0.3">
      <c r="A25" t="s">
        <v>42</v>
      </c>
      <c r="B25" t="s">
        <v>91</v>
      </c>
      <c r="C25" t="str">
        <f>LEFT(Table1[[#This Row],[Name]],SEARCH(" ",Table1[[#This Row],[Name]])-1)</f>
        <v>Yash</v>
      </c>
      <c r="D25" t="str">
        <f>RIGHT(Table1[[#This Row],[Name]],LEN(Table1[[#This Row],[Name]])-SEARCH(" ",Table1[[#This Row],[Name]]))</f>
        <v>Yadav</v>
      </c>
      <c r="E25">
        <v>16</v>
      </c>
      <c r="F25" t="s">
        <v>119</v>
      </c>
      <c r="G25" t="s">
        <v>121</v>
      </c>
      <c r="H25" t="s">
        <v>122</v>
      </c>
      <c r="I25">
        <v>36.5</v>
      </c>
      <c r="J25">
        <v>75.099999999999994</v>
      </c>
      <c r="K25" s="1">
        <v>67.3</v>
      </c>
      <c r="L25" s="1">
        <f>Table1[[#This Row],[Final Exam Score]]-Table1[[#This Row],[Midterm Score]]</f>
        <v>17.700000000000003</v>
      </c>
      <c r="M25">
        <v>85</v>
      </c>
      <c r="N25" s="1">
        <v>82.8</v>
      </c>
      <c r="O25" s="1">
        <v>5</v>
      </c>
      <c r="P25" s="1">
        <v>1.7</v>
      </c>
      <c r="Q25" t="s">
        <v>127</v>
      </c>
      <c r="R25" s="1" t="s">
        <v>134</v>
      </c>
      <c r="S25" s="1" t="s">
        <v>137</v>
      </c>
      <c r="T25">
        <f>Table1[[#This Row],[Assignments Avg]]*0.1+Table1[[#This Row],[Midterm Score]]*0.3+Table1[[#This Row],[Final Exam Score]]*0.45+Table1[[#This Row],[Project Score]]*0.1</f>
        <v>74.22999999999999</v>
      </c>
      <c r="U25" t="str">
        <f>IF(Table1[[#This Row],[Final Score]]&gt;=80,"A",IF(Table1[[#This Row],[Final Score]]&gt;=70,"B",IF(Table1[[#This Row],[Final Score]]&gt;=60,"C",IF(Table1[[#This Row],[Final Score]]&gt;=50,"D","F"))))</f>
        <v>B</v>
      </c>
      <c r="V25" t="str">
        <f>IF(Table1[[#This Row],[Final Score]]&gt;=40,"Pass","Fail")</f>
        <v>Pass</v>
      </c>
      <c r="W25" t="str">
        <f>IF(OR(Table1[[#This Row],[Attendance]]&lt;75,Table1[[#This Row],[Final Score]]&lt;45),"At-risk","Ok")</f>
        <v>At-risk</v>
      </c>
      <c r="X25" s="5" t="str">
        <f>IF(Table1[[#This Row],[Study Hours]]&lt;2,"Low Study","Normal")</f>
        <v>Low Study</v>
      </c>
      <c r="Y25" s="3" t="s">
        <v>122</v>
      </c>
      <c r="Z25">
        <v>7</v>
      </c>
    </row>
    <row r="26" spans="1:28" x14ac:dyDescent="0.3">
      <c r="A26" t="s">
        <v>43</v>
      </c>
      <c r="B26" t="s">
        <v>92</v>
      </c>
      <c r="C26" t="str">
        <f>LEFT(Table1[[#This Row],[Name]],SEARCH(" ",Table1[[#This Row],[Name]])-1)</f>
        <v>Jyoti</v>
      </c>
      <c r="D26" t="str">
        <f>RIGHT(Table1[[#This Row],[Name]],LEN(Table1[[#This Row],[Name]])-SEARCH(" ",Table1[[#This Row],[Name]]))</f>
        <v>Deshmukh</v>
      </c>
      <c r="E26">
        <v>15</v>
      </c>
      <c r="F26" t="s">
        <v>117</v>
      </c>
      <c r="G26" t="s">
        <v>120</v>
      </c>
      <c r="H26" t="s">
        <v>124</v>
      </c>
      <c r="I26">
        <v>82.7</v>
      </c>
      <c r="J26">
        <v>68.900000000000006</v>
      </c>
      <c r="K26" s="1">
        <v>74.400000000000006</v>
      </c>
      <c r="L26" s="1">
        <f>Table1[[#This Row],[Final Exam Score]]-Table1[[#This Row],[Midterm Score]]</f>
        <v>-23.100000000000009</v>
      </c>
      <c r="M26">
        <v>51.3</v>
      </c>
      <c r="N26" s="1">
        <v>91.7</v>
      </c>
      <c r="O26" s="1">
        <v>7</v>
      </c>
      <c r="P26" s="1">
        <v>6.1</v>
      </c>
      <c r="Q26" t="s">
        <v>128</v>
      </c>
      <c r="R26" s="1" t="s">
        <v>131</v>
      </c>
      <c r="S26" s="1" t="s">
        <v>136</v>
      </c>
      <c r="T26">
        <f>Table1[[#This Row],[Assignments Avg]]*0.1+Table1[[#This Row],[Midterm Score]]*0.3+Table1[[#This Row],[Final Exam Score]]*0.45+Table1[[#This Row],[Project Score]]*0.1</f>
        <v>61.465000000000003</v>
      </c>
      <c r="U26" t="str">
        <f>IF(Table1[[#This Row],[Final Score]]&gt;=80,"A",IF(Table1[[#This Row],[Final Score]]&gt;=70,"B",IF(Table1[[#This Row],[Final Score]]&gt;=60,"C",IF(Table1[[#This Row],[Final Score]]&gt;=50,"D","F"))))</f>
        <v>C</v>
      </c>
      <c r="V26" t="str">
        <f>IF(Table1[[#This Row],[Final Score]]&gt;=40,"Pass","Fail")</f>
        <v>Pass</v>
      </c>
      <c r="W26" t="str">
        <f>IF(OR(Table1[[#This Row],[Attendance]]&lt;75,Table1[[#This Row],[Final Score]]&lt;45),"At-risk","Ok")</f>
        <v>Ok</v>
      </c>
      <c r="X26" s="5" t="str">
        <f>IF(Table1[[#This Row],[Study Hours]]&lt;2,"Low Study","Normal")</f>
        <v>Normal</v>
      </c>
      <c r="Y26" s="3" t="s">
        <v>123</v>
      </c>
      <c r="Z26">
        <v>13</v>
      </c>
    </row>
    <row r="27" spans="1:28" x14ac:dyDescent="0.3">
      <c r="A27" t="s">
        <v>44</v>
      </c>
      <c r="B27" t="s">
        <v>93</v>
      </c>
      <c r="C27" t="str">
        <f>LEFT(Table1[[#This Row],[Name]],SEARCH(" ",Table1[[#This Row],[Name]])-1)</f>
        <v>Ankit</v>
      </c>
      <c r="D27" t="str">
        <f>RIGHT(Table1[[#This Row],[Name]],LEN(Table1[[#This Row],[Name]])-SEARCH(" ",Table1[[#This Row],[Name]]))</f>
        <v>Kadam</v>
      </c>
      <c r="E27">
        <v>17</v>
      </c>
      <c r="F27" t="s">
        <v>118</v>
      </c>
      <c r="G27" t="s">
        <v>120</v>
      </c>
      <c r="H27" t="s">
        <v>122</v>
      </c>
      <c r="I27">
        <v>92.8</v>
      </c>
      <c r="J27">
        <v>36.200000000000003</v>
      </c>
      <c r="K27" s="1">
        <v>36.200000000000003</v>
      </c>
      <c r="L27" s="1">
        <f>Table1[[#This Row],[Final Exam Score]]-Table1[[#This Row],[Midterm Score]]</f>
        <v>14.5</v>
      </c>
      <c r="M27">
        <v>50.7</v>
      </c>
      <c r="N27" s="1">
        <v>87.8</v>
      </c>
      <c r="O27" s="1">
        <v>9</v>
      </c>
      <c r="P27" s="1">
        <v>2.9</v>
      </c>
      <c r="Q27" t="s">
        <v>126</v>
      </c>
      <c r="R27" s="1" t="s">
        <v>131</v>
      </c>
      <c r="S27" s="1" t="s">
        <v>137</v>
      </c>
      <c r="T27">
        <f>Table1[[#This Row],[Assignments Avg]]*0.1+Table1[[#This Row],[Midterm Score]]*0.3+Table1[[#This Row],[Final Exam Score]]*0.45+Table1[[#This Row],[Project Score]]*0.1</f>
        <v>46.075000000000003</v>
      </c>
      <c r="U27" t="str">
        <f>IF(Table1[[#This Row],[Final Score]]&gt;=80,"A",IF(Table1[[#This Row],[Final Score]]&gt;=70,"B",IF(Table1[[#This Row],[Final Score]]&gt;=60,"C",IF(Table1[[#This Row],[Final Score]]&gt;=50,"D","F"))))</f>
        <v>F</v>
      </c>
      <c r="V27" t="str">
        <f>IF(Table1[[#This Row],[Final Score]]&gt;=40,"Pass","Fail")</f>
        <v>Pass</v>
      </c>
      <c r="W27" t="str">
        <f>IF(OR(Table1[[#This Row],[Attendance]]&lt;75,Table1[[#This Row],[Final Score]]&lt;45),"At-risk","Ok")</f>
        <v>Ok</v>
      </c>
      <c r="X27" s="5" t="str">
        <f>IF(Table1[[#This Row],[Study Hours]]&lt;2,"Low Study","Normal")</f>
        <v>Normal</v>
      </c>
      <c r="Y27" s="3" t="s">
        <v>124</v>
      </c>
      <c r="Z27">
        <v>14</v>
      </c>
    </row>
    <row r="28" spans="1:28" x14ac:dyDescent="0.3">
      <c r="A28" t="s">
        <v>45</v>
      </c>
      <c r="B28" t="s">
        <v>94</v>
      </c>
      <c r="C28" t="str">
        <f>LEFT(Table1[[#This Row],[Name]],SEARCH(" ",Table1[[#This Row],[Name]])-1)</f>
        <v>Pallavi</v>
      </c>
      <c r="D28" t="str">
        <f>RIGHT(Table1[[#This Row],[Name]],LEN(Table1[[#This Row],[Name]])-SEARCH(" ",Table1[[#This Row],[Name]]))</f>
        <v>Pawar</v>
      </c>
      <c r="E28">
        <v>15</v>
      </c>
      <c r="F28" t="s">
        <v>117</v>
      </c>
      <c r="G28" t="s">
        <v>121</v>
      </c>
      <c r="H28" t="s">
        <v>123</v>
      </c>
      <c r="I28">
        <v>67.3</v>
      </c>
      <c r="J28">
        <v>79.900000000000006</v>
      </c>
      <c r="K28">
        <v>76.5</v>
      </c>
      <c r="L28">
        <f>Table1[[#This Row],[Final Exam Score]]-Table1[[#This Row],[Midterm Score]]</f>
        <v>-19.600000000000001</v>
      </c>
      <c r="M28">
        <v>56.9</v>
      </c>
      <c r="N28" s="1">
        <v>77.900000000000006</v>
      </c>
      <c r="O28" s="1">
        <v>6</v>
      </c>
      <c r="P28" s="1">
        <v>4.9000000000000004</v>
      </c>
      <c r="Q28" t="s">
        <v>129</v>
      </c>
      <c r="R28" s="1" t="s">
        <v>133</v>
      </c>
      <c r="S28" s="1" t="s">
        <v>138</v>
      </c>
      <c r="T28">
        <f>Table1[[#This Row],[Assignments Avg]]*0.1+Table1[[#This Row],[Midterm Score]]*0.3+Table1[[#This Row],[Final Exam Score]]*0.45+Table1[[#This Row],[Project Score]]*0.1</f>
        <v>64.335000000000008</v>
      </c>
      <c r="U28" t="str">
        <f>IF(Table1[[#This Row],[Final Score]]&gt;=80,"A",IF(Table1[[#This Row],[Final Score]]&gt;=70,"B",IF(Table1[[#This Row],[Final Score]]&gt;=60,"C",IF(Table1[[#This Row],[Final Score]]&gt;=50,"D","F"))))</f>
        <v>C</v>
      </c>
      <c r="V28" t="str">
        <f>IF(Table1[[#This Row],[Final Score]]&gt;=40,"Pass","Fail")</f>
        <v>Pass</v>
      </c>
      <c r="W28" t="str">
        <f>IF(OR(Table1[[#This Row],[Attendance]]&lt;75,Table1[[#This Row],[Final Score]]&lt;45),"At-risk","Ok")</f>
        <v>At-risk</v>
      </c>
      <c r="X28" s="5" t="str">
        <f>IF(Table1[[#This Row],[Study Hours]]&lt;2,"Low Study","Normal")</f>
        <v>Normal</v>
      </c>
      <c r="Y28" s="3" t="s">
        <v>147</v>
      </c>
      <c r="Z28">
        <v>12</v>
      </c>
    </row>
    <row r="29" spans="1:28" x14ac:dyDescent="0.3">
      <c r="A29" t="s">
        <v>46</v>
      </c>
      <c r="B29" t="s">
        <v>95</v>
      </c>
      <c r="C29" t="str">
        <f>LEFT(Table1[[#This Row],[Name]],SEARCH(" ",Table1[[#This Row],[Name]])-1)</f>
        <v>Suresh</v>
      </c>
      <c r="D29" t="str">
        <f>RIGHT(Table1[[#This Row],[Name]],LEN(Table1[[#This Row],[Name]])-SEARCH(" ",Table1[[#This Row],[Name]]))</f>
        <v>Singh</v>
      </c>
      <c r="E29">
        <v>16</v>
      </c>
      <c r="F29" t="s">
        <v>118</v>
      </c>
      <c r="G29" t="s">
        <v>121</v>
      </c>
      <c r="H29" t="s">
        <v>124</v>
      </c>
      <c r="I29">
        <v>52.7</v>
      </c>
      <c r="J29">
        <v>68.2</v>
      </c>
      <c r="K29" s="1">
        <v>66.3</v>
      </c>
      <c r="L29" s="1">
        <f>Table1[[#This Row],[Final Exam Score]]-Table1[[#This Row],[Midterm Score]]</f>
        <v>-29.799999999999997</v>
      </c>
      <c r="M29">
        <v>36.5</v>
      </c>
      <c r="N29" s="1">
        <v>51.2</v>
      </c>
      <c r="O29" s="1">
        <v>4</v>
      </c>
      <c r="P29" s="1">
        <v>2.8</v>
      </c>
      <c r="Q29" t="s">
        <v>129</v>
      </c>
      <c r="R29" s="1" t="s">
        <v>134</v>
      </c>
      <c r="S29" s="1" t="s">
        <v>136</v>
      </c>
      <c r="T29">
        <f>Table1[[#This Row],[Assignments Avg]]*0.1+Table1[[#This Row],[Midterm Score]]*0.3+Table1[[#This Row],[Final Exam Score]]*0.45+Table1[[#This Row],[Project Score]]*0.1</f>
        <v>48.254999999999995</v>
      </c>
      <c r="U29" t="str">
        <f>IF(Table1[[#This Row],[Final Score]]&gt;=80,"A",IF(Table1[[#This Row],[Final Score]]&gt;=70,"B",IF(Table1[[#This Row],[Final Score]]&gt;=60,"C",IF(Table1[[#This Row],[Final Score]]&gt;=50,"D","F"))))</f>
        <v>F</v>
      </c>
      <c r="V29" t="str">
        <f>IF(Table1[[#This Row],[Final Score]]&gt;=40,"Pass","Fail")</f>
        <v>Pass</v>
      </c>
      <c r="W29" t="str">
        <f>IF(OR(Table1[[#This Row],[Attendance]]&lt;75,Table1[[#This Row],[Final Score]]&lt;45),"At-risk","Ok")</f>
        <v>At-risk</v>
      </c>
      <c r="X29" s="5" t="str">
        <f>IF(Table1[[#This Row],[Study Hours]]&lt;2,"Low Study","Normal")</f>
        <v>Normal</v>
      </c>
      <c r="Y29" s="3" t="s">
        <v>148</v>
      </c>
      <c r="Z29">
        <v>4</v>
      </c>
    </row>
    <row r="30" spans="1:28" x14ac:dyDescent="0.3">
      <c r="A30" t="s">
        <v>47</v>
      </c>
      <c r="B30" t="s">
        <v>96</v>
      </c>
      <c r="C30" t="str">
        <f>LEFT(Table1[[#This Row],[Name]],SEARCH(" ",Table1[[#This Row],[Name]])-1)</f>
        <v>Ananya</v>
      </c>
      <c r="D30" t="str">
        <f>RIGHT(Table1[[#This Row],[Name]],LEN(Table1[[#This Row],[Name]])-SEARCH(" ",Table1[[#This Row],[Name]]))</f>
        <v>Chavan</v>
      </c>
      <c r="E30">
        <v>15</v>
      </c>
      <c r="F30" t="s">
        <v>117</v>
      </c>
      <c r="G30" t="s">
        <v>120</v>
      </c>
      <c r="H30" t="s">
        <v>122</v>
      </c>
      <c r="I30">
        <v>54.3</v>
      </c>
      <c r="J30">
        <v>47</v>
      </c>
      <c r="K30" s="1">
        <v>46.8</v>
      </c>
      <c r="L30" s="1">
        <f>Table1[[#This Row],[Final Exam Score]]-Table1[[#This Row],[Midterm Score]]</f>
        <v>22.100000000000009</v>
      </c>
      <c r="M30">
        <v>68.900000000000006</v>
      </c>
      <c r="N30" s="1">
        <v>91.2</v>
      </c>
      <c r="O30">
        <v>5</v>
      </c>
      <c r="P30" s="1">
        <v>3.7</v>
      </c>
      <c r="Q30" t="s">
        <v>125</v>
      </c>
      <c r="R30" s="1" t="s">
        <v>132</v>
      </c>
      <c r="S30" s="1" t="s">
        <v>137</v>
      </c>
      <c r="T30">
        <f>Table1[[#This Row],[Assignments Avg]]*0.1+Table1[[#This Row],[Midterm Score]]*0.3+Table1[[#This Row],[Final Exam Score]]*0.45+Table1[[#This Row],[Project Score]]*0.1</f>
        <v>58.865000000000009</v>
      </c>
      <c r="U30" t="str">
        <f>IF(Table1[[#This Row],[Final Score]]&gt;=80,"A",IF(Table1[[#This Row],[Final Score]]&gt;=70,"B",IF(Table1[[#This Row],[Final Score]]&gt;=60,"C",IF(Table1[[#This Row],[Final Score]]&gt;=50,"D","F"))))</f>
        <v>D</v>
      </c>
      <c r="V30" t="str">
        <f>IF(Table1[[#This Row],[Final Score]]&gt;=40,"Pass","Fail")</f>
        <v>Pass</v>
      </c>
      <c r="W30" t="str">
        <f>IF(OR(Table1[[#This Row],[Attendance]]&lt;75,Table1[[#This Row],[Final Score]]&lt;45),"At-risk","Ok")</f>
        <v>At-risk</v>
      </c>
      <c r="X30" s="5" t="str">
        <f>IF(Table1[[#This Row],[Study Hours]]&lt;2,"Low Study","Normal")</f>
        <v>Normal</v>
      </c>
      <c r="Y30" s="3" t="s">
        <v>140</v>
      </c>
      <c r="Z30">
        <v>50</v>
      </c>
    </row>
    <row r="31" spans="1:28" x14ac:dyDescent="0.3">
      <c r="A31" t="s">
        <v>48</v>
      </c>
      <c r="B31" t="s">
        <v>97</v>
      </c>
      <c r="C31" t="str">
        <f>LEFT(Table1[[#This Row],[Name]],SEARCH(" ",Table1[[#This Row],[Name]])-1)</f>
        <v>Vikram</v>
      </c>
      <c r="D31" t="str">
        <f>RIGHT(Table1[[#This Row],[Name]],LEN(Table1[[#This Row],[Name]])-SEARCH(" ",Table1[[#This Row],[Name]]))</f>
        <v>Chavan</v>
      </c>
      <c r="E31">
        <v>16</v>
      </c>
      <c r="F31" t="s">
        <v>118</v>
      </c>
      <c r="G31" t="s">
        <v>120</v>
      </c>
      <c r="H31" t="s">
        <v>123</v>
      </c>
      <c r="I31">
        <v>37.799999999999997</v>
      </c>
      <c r="J31">
        <v>68.900000000000006</v>
      </c>
      <c r="K31">
        <v>45.8</v>
      </c>
      <c r="L31">
        <f>Table1[[#This Row],[Final Exam Score]]-Table1[[#This Row],[Midterm Score]]</f>
        <v>-9.2999999999999972</v>
      </c>
      <c r="M31">
        <v>36.5</v>
      </c>
      <c r="N31" s="1">
        <v>68.099999999999994</v>
      </c>
      <c r="O31">
        <v>7</v>
      </c>
      <c r="P31" s="1">
        <v>1.6</v>
      </c>
      <c r="Q31" t="s">
        <v>126</v>
      </c>
      <c r="R31" s="1" t="s">
        <v>131</v>
      </c>
      <c r="S31" s="1" t="s">
        <v>138</v>
      </c>
      <c r="T31">
        <f>Table1[[#This Row],[Assignments Avg]]*0.1+Table1[[#This Row],[Midterm Score]]*0.3+Table1[[#This Row],[Final Exam Score]]*0.45+Table1[[#This Row],[Project Score]]*0.1</f>
        <v>43.865000000000002</v>
      </c>
      <c r="U31" t="str">
        <f>IF(Table1[[#This Row],[Final Score]]&gt;=80,"A",IF(Table1[[#This Row],[Final Score]]&gt;=70,"B",IF(Table1[[#This Row],[Final Score]]&gt;=60,"C",IF(Table1[[#This Row],[Final Score]]&gt;=50,"D","F"))))</f>
        <v>F</v>
      </c>
      <c r="V31" t="str">
        <f>IF(Table1[[#This Row],[Final Score]]&gt;=40,"Pass","Fail")</f>
        <v>Pass</v>
      </c>
      <c r="W31" t="str">
        <f>IF(OR(Table1[[#This Row],[Attendance]]&lt;75,Table1[[#This Row],[Final Score]]&lt;45),"At-risk","Ok")</f>
        <v>At-risk</v>
      </c>
      <c r="X31" s="5" t="str">
        <f>IF(Table1[[#This Row],[Study Hours]]&lt;2,"Low Study","Normal")</f>
        <v>Low Study</v>
      </c>
    </row>
    <row r="32" spans="1:28" x14ac:dyDescent="0.3">
      <c r="A32" t="s">
        <v>49</v>
      </c>
      <c r="B32" t="s">
        <v>98</v>
      </c>
      <c r="C32" t="str">
        <f>LEFT(Table1[[#This Row],[Name]],SEARCH(" ",Table1[[#This Row],[Name]])-1)</f>
        <v>Sneha</v>
      </c>
      <c r="D32" t="str">
        <f>RIGHT(Table1[[#This Row],[Name]],LEN(Table1[[#This Row],[Name]])-SEARCH(" ",Table1[[#This Row],[Name]]))</f>
        <v>Kadam</v>
      </c>
      <c r="E32">
        <v>15</v>
      </c>
      <c r="F32" t="s">
        <v>117</v>
      </c>
      <c r="G32" t="s">
        <v>121</v>
      </c>
      <c r="H32" t="s">
        <v>122</v>
      </c>
      <c r="I32">
        <v>88.6</v>
      </c>
      <c r="J32">
        <v>89.5</v>
      </c>
      <c r="K32">
        <v>90</v>
      </c>
      <c r="L32">
        <f>Table1[[#This Row],[Final Exam Score]]-Table1[[#This Row],[Midterm Score]]</f>
        <v>-6.2000000000000028</v>
      </c>
      <c r="M32">
        <v>83.8</v>
      </c>
      <c r="N32" s="1">
        <v>67</v>
      </c>
      <c r="O32">
        <v>4</v>
      </c>
      <c r="P32" s="1">
        <v>4.4000000000000004</v>
      </c>
      <c r="Q32" t="s">
        <v>127</v>
      </c>
      <c r="R32" s="1" t="s">
        <v>132</v>
      </c>
      <c r="S32" s="1" t="s">
        <v>138</v>
      </c>
      <c r="T32">
        <f>Table1[[#This Row],[Assignments Avg]]*0.1+Table1[[#This Row],[Midterm Score]]*0.3+Table1[[#This Row],[Final Exam Score]]*0.45+Table1[[#This Row],[Project Score]]*0.1</f>
        <v>80.36</v>
      </c>
      <c r="U32" t="str">
        <f>IF(Table1[[#This Row],[Final Score]]&gt;=80,"A",IF(Table1[[#This Row],[Final Score]]&gt;=70,"B",IF(Table1[[#This Row],[Final Score]]&gt;=60,"C",IF(Table1[[#This Row],[Final Score]]&gt;=50,"D","F"))))</f>
        <v>A</v>
      </c>
      <c r="V32" t="str">
        <f>IF(Table1[[#This Row],[Final Score]]&gt;=40,"Pass","Fail")</f>
        <v>Pass</v>
      </c>
      <c r="W32" t="str">
        <f>IF(OR(Table1[[#This Row],[Attendance]]&lt;75,Table1[[#This Row],[Final Score]]&lt;45),"At-risk","Ok")</f>
        <v>Ok</v>
      </c>
      <c r="X32" s="5" t="str">
        <f>IF(Table1[[#This Row],[Study Hours]]&lt;2,"Low Study","Normal")</f>
        <v>Normal</v>
      </c>
      <c r="Y32" s="4" t="s">
        <v>153</v>
      </c>
      <c r="Z32" t="e">
        <f>VLOOKUP("S1030",[1]!Table1[#All],17,FALSE)</f>
        <v>#REF!</v>
      </c>
    </row>
    <row r="33" spans="1:26" x14ac:dyDescent="0.3">
      <c r="A33" t="s">
        <v>50</v>
      </c>
      <c r="B33" t="s">
        <v>99</v>
      </c>
      <c r="C33" t="str">
        <f>LEFT(Table1[[#This Row],[Name]],SEARCH(" ",Table1[[#This Row],[Name]])-1)</f>
        <v>Kriti</v>
      </c>
      <c r="D33" t="str">
        <f>RIGHT(Table1[[#This Row],[Name]],LEN(Table1[[#This Row],[Name]])-SEARCH(" ",Table1[[#This Row],[Name]]))</f>
        <v>Bhosale</v>
      </c>
      <c r="E33">
        <v>15</v>
      </c>
      <c r="F33" t="s">
        <v>117</v>
      </c>
      <c r="G33" t="s">
        <v>121</v>
      </c>
      <c r="H33" t="s">
        <v>124</v>
      </c>
      <c r="I33">
        <v>75.099999999999994</v>
      </c>
      <c r="J33">
        <v>79.900000000000006</v>
      </c>
      <c r="K33">
        <v>25.2</v>
      </c>
      <c r="L33">
        <f>Table1[[#This Row],[Final Exam Score]]-Table1[[#This Row],[Midterm Score]]</f>
        <v>49.899999999999991</v>
      </c>
      <c r="M33">
        <v>75.099999999999994</v>
      </c>
      <c r="N33" s="1">
        <v>52.8</v>
      </c>
      <c r="O33">
        <v>5</v>
      </c>
      <c r="P33" s="1">
        <v>2.8</v>
      </c>
      <c r="Q33" t="s">
        <v>128</v>
      </c>
      <c r="R33" s="1" t="s">
        <v>132</v>
      </c>
      <c r="S33" s="1" t="s">
        <v>136</v>
      </c>
      <c r="T33">
        <f>Table1[[#This Row],[Assignments Avg]]*0.1+Table1[[#This Row],[Midterm Score]]*0.3+Table1[[#This Row],[Final Exam Score]]*0.45+Table1[[#This Row],[Project Score]]*0.1</f>
        <v>54.625</v>
      </c>
      <c r="U33" t="str">
        <f>IF(Table1[[#This Row],[Final Score]]&gt;=80,"A",IF(Table1[[#This Row],[Final Score]]&gt;=70,"B",IF(Table1[[#This Row],[Final Score]]&gt;=60,"C",IF(Table1[[#This Row],[Final Score]]&gt;=50,"D","F"))))</f>
        <v>D</v>
      </c>
      <c r="V33" t="str">
        <f>IF(Table1[[#This Row],[Final Score]]&gt;=40,"Pass","Fail")</f>
        <v>Pass</v>
      </c>
      <c r="W33" t="str">
        <f>IF(OR(Table1[[#This Row],[Attendance]]&lt;75,Table1[[#This Row],[Final Score]]&lt;45),"At-risk","Ok")</f>
        <v>Ok</v>
      </c>
      <c r="X33" s="5" t="str">
        <f>IF(Table1[[#This Row],[Study Hours]]&lt;2,"Low Study","Normal")</f>
        <v>Normal</v>
      </c>
      <c r="Y33" s="4" t="s">
        <v>154</v>
      </c>
      <c r="Z33">
        <f>_xlfn.XLOOKUP("Yash Kadam",[1]StudentData!B:B,[1]StudentData!S:S)</f>
        <v>62.410000000000011</v>
      </c>
    </row>
    <row r="34" spans="1:26" x14ac:dyDescent="0.3">
      <c r="A34" t="s">
        <v>51</v>
      </c>
      <c r="B34" t="s">
        <v>100</v>
      </c>
      <c r="C34" t="str">
        <f>LEFT(Table1[[#This Row],[Name]],SEARCH(" ",Table1[[#This Row],[Name]])-1)</f>
        <v>Manish</v>
      </c>
      <c r="D34" t="str">
        <f>RIGHT(Table1[[#This Row],[Name]],LEN(Table1[[#This Row],[Name]])-SEARCH(" ",Table1[[#This Row],[Name]]))</f>
        <v>Kadam</v>
      </c>
      <c r="E34">
        <v>16</v>
      </c>
      <c r="F34" t="s">
        <v>118</v>
      </c>
      <c r="G34" t="s">
        <v>120</v>
      </c>
      <c r="H34" t="s">
        <v>122</v>
      </c>
      <c r="I34">
        <v>51.6</v>
      </c>
      <c r="J34">
        <v>25.2</v>
      </c>
      <c r="K34">
        <v>85</v>
      </c>
      <c r="L34">
        <f>Table1[[#This Row],[Final Exam Score]]-Table1[[#This Row],[Midterm Score]]</f>
        <v>-16.099999999999994</v>
      </c>
      <c r="M34">
        <v>68.900000000000006</v>
      </c>
      <c r="N34" s="1">
        <v>47.8</v>
      </c>
      <c r="O34">
        <v>1</v>
      </c>
      <c r="P34" s="1">
        <v>6.1</v>
      </c>
      <c r="Q34" t="s">
        <v>126</v>
      </c>
      <c r="R34" s="1" t="s">
        <v>133</v>
      </c>
      <c r="S34" s="1" t="s">
        <v>137</v>
      </c>
      <c r="T34">
        <f>Table1[[#This Row],[Assignments Avg]]*0.1+Table1[[#This Row],[Midterm Score]]*0.3+Table1[[#This Row],[Final Exam Score]]*0.45+Table1[[#This Row],[Project Score]]*0.1</f>
        <v>63.805000000000007</v>
      </c>
      <c r="U34" t="str">
        <f>IF(Table1[[#This Row],[Final Score]]&gt;=80,"A",IF(Table1[[#This Row],[Final Score]]&gt;=70,"B",IF(Table1[[#This Row],[Final Score]]&gt;=60,"C",IF(Table1[[#This Row],[Final Score]]&gt;=50,"D","F"))))</f>
        <v>C</v>
      </c>
      <c r="V34" t="str">
        <f>IF(Table1[[#This Row],[Final Score]]&gt;=40,"Pass","Fail")</f>
        <v>Pass</v>
      </c>
      <c r="W34" t="str">
        <f>IF(OR(Table1[[#This Row],[Attendance]]&lt;75,Table1[[#This Row],[Final Score]]&lt;45),"At-risk","Ok")</f>
        <v>At-risk</v>
      </c>
      <c r="X34" s="5" t="str">
        <f>IF(Table1[[#This Row],[Study Hours]]&lt;2,"Low Study","Normal")</f>
        <v>Normal</v>
      </c>
    </row>
    <row r="35" spans="1:26" x14ac:dyDescent="0.3">
      <c r="A35" t="s">
        <v>52</v>
      </c>
      <c r="B35" t="s">
        <v>101</v>
      </c>
      <c r="C35" t="str">
        <f>LEFT(Table1[[#This Row],[Name]],SEARCH(" ",Table1[[#This Row],[Name]])-1)</f>
        <v>Isha</v>
      </c>
      <c r="D35" t="str">
        <f>RIGHT(Table1[[#This Row],[Name]],LEN(Table1[[#This Row],[Name]])-SEARCH(" ",Table1[[#This Row],[Name]]))</f>
        <v>Naik</v>
      </c>
      <c r="E35">
        <v>16</v>
      </c>
      <c r="F35" t="s">
        <v>117</v>
      </c>
      <c r="G35" t="s">
        <v>120</v>
      </c>
      <c r="H35" t="s">
        <v>123</v>
      </c>
      <c r="I35">
        <v>76</v>
      </c>
      <c r="J35">
        <v>83.8</v>
      </c>
      <c r="K35">
        <v>92.2</v>
      </c>
      <c r="L35">
        <f>Table1[[#This Row],[Final Exam Score]]-Table1[[#This Row],[Midterm Score]]</f>
        <v>0</v>
      </c>
      <c r="M35">
        <v>92.2</v>
      </c>
      <c r="N35" s="1">
        <v>47.7</v>
      </c>
      <c r="O35">
        <v>9</v>
      </c>
      <c r="P35" s="1">
        <v>3</v>
      </c>
      <c r="Q35" t="s">
        <v>129</v>
      </c>
      <c r="R35" t="s">
        <v>135</v>
      </c>
      <c r="S35" s="1" t="s">
        <v>136</v>
      </c>
      <c r="T35">
        <f>Table1[[#This Row],[Assignments Avg]]*0.1+Table1[[#This Row],[Midterm Score]]*0.3+Table1[[#This Row],[Final Exam Score]]*0.45+Table1[[#This Row],[Project Score]]*0.1</f>
        <v>82.3</v>
      </c>
      <c r="U35" t="str">
        <f>IF(Table1[[#This Row],[Final Score]]&gt;=80,"A",IF(Table1[[#This Row],[Final Score]]&gt;=70,"B",IF(Table1[[#This Row],[Final Score]]&gt;=60,"C",IF(Table1[[#This Row],[Final Score]]&gt;=50,"D","F"))))</f>
        <v>A</v>
      </c>
      <c r="V35" t="str">
        <f>IF(Table1[[#This Row],[Final Score]]&gt;=40,"Pass","Fail")</f>
        <v>Pass</v>
      </c>
      <c r="W35" t="str">
        <f>IF(OR(Table1[[#This Row],[Attendance]]&lt;75,Table1[[#This Row],[Final Score]]&lt;45),"At-risk","Ok")</f>
        <v>Ok</v>
      </c>
      <c r="X35" s="5" t="str">
        <f>IF(Table1[[#This Row],[Study Hours]]&lt;2,"Low Study","Normal")</f>
        <v>Normal</v>
      </c>
    </row>
    <row r="36" spans="1:26" x14ac:dyDescent="0.3">
      <c r="A36" t="s">
        <v>53</v>
      </c>
      <c r="B36" t="s">
        <v>102</v>
      </c>
      <c r="C36" t="str">
        <f>LEFT(Table1[[#This Row],[Name]],SEARCH(" ",Table1[[#This Row],[Name]])-1)</f>
        <v>Tanvi</v>
      </c>
      <c r="D36" t="str">
        <f>RIGHT(Table1[[#This Row],[Name]],LEN(Table1[[#This Row],[Name]])-SEARCH(" ",Table1[[#This Row],[Name]]))</f>
        <v>Thakur</v>
      </c>
      <c r="E36">
        <v>15</v>
      </c>
      <c r="F36" t="s">
        <v>117</v>
      </c>
      <c r="G36" t="s">
        <v>121</v>
      </c>
      <c r="H36" t="s">
        <v>124</v>
      </c>
      <c r="I36">
        <v>58.4</v>
      </c>
      <c r="J36">
        <v>86.7</v>
      </c>
      <c r="K36">
        <v>76.599999999999994</v>
      </c>
      <c r="L36">
        <f>Table1[[#This Row],[Final Exam Score]]-Table1[[#This Row],[Midterm Score]]</f>
        <v>7.2000000000000028</v>
      </c>
      <c r="M36">
        <v>83.8</v>
      </c>
      <c r="N36" s="1">
        <v>69.599999999999994</v>
      </c>
      <c r="O36">
        <v>3</v>
      </c>
      <c r="P36" s="1">
        <v>1.7</v>
      </c>
      <c r="Q36" t="s">
        <v>130</v>
      </c>
      <c r="R36" s="1" t="s">
        <v>131</v>
      </c>
      <c r="S36" s="1" t="s">
        <v>137</v>
      </c>
      <c r="T36">
        <f>Table1[[#This Row],[Assignments Avg]]*0.1+Table1[[#This Row],[Midterm Score]]*0.3+Table1[[#This Row],[Final Exam Score]]*0.45+Table1[[#This Row],[Project Score]]*0.1</f>
        <v>76.319999999999993</v>
      </c>
      <c r="U36" t="str">
        <f>IF(Table1[[#This Row],[Final Score]]&gt;=80,"A",IF(Table1[[#This Row],[Final Score]]&gt;=70,"B",IF(Table1[[#This Row],[Final Score]]&gt;=60,"C",IF(Table1[[#This Row],[Final Score]]&gt;=50,"D","F"))))</f>
        <v>B</v>
      </c>
      <c r="V36" t="str">
        <f>IF(Table1[[#This Row],[Final Score]]&gt;=40,"Pass","Fail")</f>
        <v>Pass</v>
      </c>
      <c r="W36" t="str">
        <f>IF(OR(Table1[[#This Row],[Attendance]]&lt;75,Table1[[#This Row],[Final Score]]&lt;45),"At-risk","Ok")</f>
        <v>At-risk</v>
      </c>
      <c r="X36" s="5" t="str">
        <f>IF(Table1[[#This Row],[Study Hours]]&lt;2,"Low Study","Normal")</f>
        <v>Low Study</v>
      </c>
    </row>
    <row r="37" spans="1:26" x14ac:dyDescent="0.3">
      <c r="A37" t="s">
        <v>54</v>
      </c>
      <c r="B37" t="s">
        <v>103</v>
      </c>
      <c r="C37" t="str">
        <f>LEFT(Table1[[#This Row],[Name]],SEARCH(" ",Table1[[#This Row],[Name]])-1)</f>
        <v>Deepak</v>
      </c>
      <c r="D37" t="str">
        <f>RIGHT(Table1[[#This Row],[Name]],LEN(Table1[[#This Row],[Name]])-SEARCH(" ",Table1[[#This Row],[Name]]))</f>
        <v>Bhosale</v>
      </c>
      <c r="E37">
        <v>16</v>
      </c>
      <c r="F37" t="s">
        <v>118</v>
      </c>
      <c r="G37" t="s">
        <v>121</v>
      </c>
      <c r="H37" t="s">
        <v>122</v>
      </c>
      <c r="I37">
        <v>93.8</v>
      </c>
      <c r="J37">
        <v>50.7</v>
      </c>
      <c r="K37">
        <v>76.5</v>
      </c>
      <c r="L37">
        <f>Table1[[#This Row],[Final Exam Score]]-Table1[[#This Row],[Midterm Score]]</f>
        <v>7.2999999999999972</v>
      </c>
      <c r="M37">
        <v>83.8</v>
      </c>
      <c r="N37" s="1">
        <v>82.3</v>
      </c>
      <c r="O37">
        <v>2</v>
      </c>
      <c r="P37" s="1">
        <v>4.9000000000000004</v>
      </c>
      <c r="Q37" t="s">
        <v>125</v>
      </c>
      <c r="R37" s="1" t="s">
        <v>134</v>
      </c>
      <c r="S37" s="1" t="s">
        <v>138</v>
      </c>
      <c r="T37">
        <f>Table1[[#This Row],[Assignments Avg]]*0.1+Table1[[#This Row],[Midterm Score]]*0.3+Table1[[#This Row],[Final Exam Score]]*0.45+Table1[[#This Row],[Project Score]]*0.1</f>
        <v>73.960000000000008</v>
      </c>
      <c r="U37" t="str">
        <f>IF(Table1[[#This Row],[Final Score]]&gt;=80,"A",IF(Table1[[#This Row],[Final Score]]&gt;=70,"B",IF(Table1[[#This Row],[Final Score]]&gt;=60,"C",IF(Table1[[#This Row],[Final Score]]&gt;=50,"D","F"))))</f>
        <v>B</v>
      </c>
      <c r="V37" t="str">
        <f>IF(Table1[[#This Row],[Final Score]]&gt;=40,"Pass","Fail")</f>
        <v>Pass</v>
      </c>
      <c r="W37" t="str">
        <f>IF(OR(Table1[[#This Row],[Attendance]]&lt;75,Table1[[#This Row],[Final Score]]&lt;45),"At-risk","Ok")</f>
        <v>Ok</v>
      </c>
      <c r="X37" s="5" t="str">
        <f>IF(Table1[[#This Row],[Study Hours]]&lt;2,"Low Study","Normal")</f>
        <v>Normal</v>
      </c>
    </row>
    <row r="38" spans="1:26" x14ac:dyDescent="0.3">
      <c r="A38" t="s">
        <v>55</v>
      </c>
      <c r="B38" t="s">
        <v>104</v>
      </c>
      <c r="C38" t="str">
        <f>LEFT(Table1[[#This Row],[Name]],SEARCH(" ",Table1[[#This Row],[Name]])-1)</f>
        <v>Harsh</v>
      </c>
      <c r="D38" t="str">
        <f>RIGHT(Table1[[#This Row],[Name]],LEN(Table1[[#This Row],[Name]])-SEARCH(" ",Table1[[#This Row],[Name]]))</f>
        <v>Pawar</v>
      </c>
      <c r="E38">
        <v>15</v>
      </c>
      <c r="F38" t="s">
        <v>118</v>
      </c>
      <c r="G38" t="s">
        <v>120</v>
      </c>
      <c r="H38" t="s">
        <v>123</v>
      </c>
      <c r="I38">
        <v>55.3</v>
      </c>
      <c r="J38">
        <v>44.5</v>
      </c>
      <c r="K38">
        <v>87.4</v>
      </c>
      <c r="L38">
        <f>Table1[[#This Row],[Final Exam Score]]-Table1[[#This Row],[Midterm Score]]</f>
        <v>-7.5</v>
      </c>
      <c r="M38">
        <v>79.900000000000006</v>
      </c>
      <c r="N38" s="1">
        <v>77.7</v>
      </c>
      <c r="O38">
        <v>7</v>
      </c>
      <c r="P38" s="1">
        <v>1.4</v>
      </c>
      <c r="Q38" t="s">
        <v>126</v>
      </c>
      <c r="R38" s="1" t="s">
        <v>131</v>
      </c>
      <c r="S38" s="1" t="s">
        <v>136</v>
      </c>
      <c r="T38">
        <f>Table1[[#This Row],[Assignments Avg]]*0.1+Table1[[#This Row],[Midterm Score]]*0.3+Table1[[#This Row],[Final Exam Score]]*0.45+Table1[[#This Row],[Project Score]]*0.1</f>
        <v>74.394999999999996</v>
      </c>
      <c r="U38" t="str">
        <f>IF(Table1[[#This Row],[Final Score]]&gt;=80,"A",IF(Table1[[#This Row],[Final Score]]&gt;=70,"B",IF(Table1[[#This Row],[Final Score]]&gt;=60,"C",IF(Table1[[#This Row],[Final Score]]&gt;=50,"D","F"))))</f>
        <v>B</v>
      </c>
      <c r="V38" t="str">
        <f>IF(Table1[[#This Row],[Final Score]]&gt;=40,"Pass","Fail")</f>
        <v>Pass</v>
      </c>
      <c r="W38" t="str">
        <f>IF(OR(Table1[[#This Row],[Attendance]]&lt;75,Table1[[#This Row],[Final Score]]&lt;45),"At-risk","Ok")</f>
        <v>At-risk</v>
      </c>
      <c r="X38" s="5" t="str">
        <f>IF(Table1[[#This Row],[Study Hours]]&lt;2,"Low Study","Normal")</f>
        <v>Low Study</v>
      </c>
    </row>
    <row r="39" spans="1:26" x14ac:dyDescent="0.3">
      <c r="A39" t="s">
        <v>56</v>
      </c>
      <c r="B39" t="s">
        <v>105</v>
      </c>
      <c r="C39" t="str">
        <f>LEFT(Table1[[#This Row],[Name]],SEARCH(" ",Table1[[#This Row],[Name]])-1)</f>
        <v>Aryan</v>
      </c>
      <c r="D39" t="str">
        <f>RIGHT(Table1[[#This Row],[Name]],LEN(Table1[[#This Row],[Name]])-SEARCH(" ",Table1[[#This Row],[Name]]))</f>
        <v>Jadhav</v>
      </c>
      <c r="E39">
        <v>16</v>
      </c>
      <c r="F39" t="s">
        <v>119</v>
      </c>
      <c r="G39" t="s">
        <v>120</v>
      </c>
      <c r="H39" t="s">
        <v>122</v>
      </c>
      <c r="I39">
        <v>47</v>
      </c>
      <c r="J39">
        <v>68.900000000000006</v>
      </c>
      <c r="K39" s="1">
        <v>85.2</v>
      </c>
      <c r="L39" s="1">
        <f>Table1[[#This Row],[Final Exam Score]]-Table1[[#This Row],[Midterm Score]]</f>
        <v>-16.299999999999997</v>
      </c>
      <c r="M39">
        <v>68.900000000000006</v>
      </c>
      <c r="N39" s="1">
        <v>44.5</v>
      </c>
      <c r="O39" s="1">
        <v>3</v>
      </c>
      <c r="P39" s="1">
        <v>7.6</v>
      </c>
      <c r="Q39" t="s">
        <v>127</v>
      </c>
      <c r="R39" s="1" t="s">
        <v>131</v>
      </c>
      <c r="S39" s="1" t="s">
        <v>137</v>
      </c>
      <c r="T39">
        <f>Table1[[#This Row],[Assignments Avg]]*0.1+Table1[[#This Row],[Midterm Score]]*0.3+Table1[[#This Row],[Final Exam Score]]*0.45+Table1[[#This Row],[Project Score]]*0.1</f>
        <v>67.905000000000001</v>
      </c>
      <c r="U39" t="str">
        <f>IF(Table1[[#This Row],[Final Score]]&gt;=80,"A",IF(Table1[[#This Row],[Final Score]]&gt;=70,"B",IF(Table1[[#This Row],[Final Score]]&gt;=60,"C",IF(Table1[[#This Row],[Final Score]]&gt;=50,"D","F"))))</f>
        <v>C</v>
      </c>
      <c r="V39" t="str">
        <f>IF(Table1[[#This Row],[Final Score]]&gt;=40,"Pass","Fail")</f>
        <v>Pass</v>
      </c>
      <c r="W39" t="str">
        <f>IF(OR(Table1[[#This Row],[Attendance]]&lt;75,Table1[[#This Row],[Final Score]]&lt;45),"At-risk","Ok")</f>
        <v>At-risk</v>
      </c>
      <c r="X39" s="5" t="str">
        <f>IF(Table1[[#This Row],[Study Hours]]&lt;2,"Low Study","Normal")</f>
        <v>Normal</v>
      </c>
    </row>
    <row r="40" spans="1:26" x14ac:dyDescent="0.3">
      <c r="A40" t="s">
        <v>57</v>
      </c>
      <c r="B40" t="s">
        <v>106</v>
      </c>
      <c r="C40" t="str">
        <f>LEFT(Table1[[#This Row],[Name]],SEARCH(" ",Table1[[#This Row],[Name]])-1)</f>
        <v>Yash</v>
      </c>
      <c r="D40" t="str">
        <f>RIGHT(Table1[[#This Row],[Name]],LEN(Table1[[#This Row],[Name]])-SEARCH(" ",Table1[[#This Row],[Name]]))</f>
        <v>Kadam</v>
      </c>
      <c r="E40">
        <v>16</v>
      </c>
      <c r="F40" t="s">
        <v>118</v>
      </c>
      <c r="G40" t="s">
        <v>121</v>
      </c>
      <c r="H40" t="s">
        <v>124</v>
      </c>
      <c r="I40">
        <v>36.5</v>
      </c>
      <c r="J40">
        <v>36.5</v>
      </c>
      <c r="K40">
        <v>76.5</v>
      </c>
      <c r="L40">
        <f>Table1[[#This Row],[Final Exam Score]]-Table1[[#This Row],[Midterm Score]]</f>
        <v>-8.2999999999999972</v>
      </c>
      <c r="M40">
        <v>68.2</v>
      </c>
      <c r="N40" s="1">
        <v>51.2</v>
      </c>
      <c r="O40" s="1">
        <v>5</v>
      </c>
      <c r="P40" s="1">
        <v>6.6</v>
      </c>
      <c r="Q40" t="s">
        <v>128</v>
      </c>
      <c r="R40" s="1" t="s">
        <v>133</v>
      </c>
      <c r="S40" s="1" t="s">
        <v>138</v>
      </c>
      <c r="T40">
        <f>Table1[[#This Row],[Assignments Avg]]*0.1+Table1[[#This Row],[Midterm Score]]*0.3+Table1[[#This Row],[Final Exam Score]]*0.45+Table1[[#This Row],[Project Score]]*0.1</f>
        <v>62.410000000000011</v>
      </c>
      <c r="U40" t="str">
        <f>IF(Table1[[#This Row],[Final Score]]&gt;=80,"A",IF(Table1[[#This Row],[Final Score]]&gt;=70,"B",IF(Table1[[#This Row],[Final Score]]&gt;=60,"C",IF(Table1[[#This Row],[Final Score]]&gt;=50,"D","F"))))</f>
        <v>C</v>
      </c>
      <c r="V40" t="str">
        <f>IF(Table1[[#This Row],[Final Score]]&gt;=40,"Pass","Fail")</f>
        <v>Pass</v>
      </c>
      <c r="W40" t="str">
        <f>IF(OR(Table1[[#This Row],[Attendance]]&lt;75,Table1[[#This Row],[Final Score]]&lt;45),"At-risk","Ok")</f>
        <v>At-risk</v>
      </c>
      <c r="X40" s="5" t="str">
        <f>IF(Table1[[#This Row],[Study Hours]]&lt;2,"Low Study","Normal")</f>
        <v>Normal</v>
      </c>
    </row>
    <row r="41" spans="1:26" x14ac:dyDescent="0.3">
      <c r="A41" t="s">
        <v>58</v>
      </c>
      <c r="B41" t="s">
        <v>107</v>
      </c>
      <c r="C41" t="str">
        <f>LEFT(Table1[[#This Row],[Name]],SEARCH(" ",Table1[[#This Row],[Name]])-1)</f>
        <v>Meera</v>
      </c>
      <c r="D41" t="str">
        <f>RIGHT(Table1[[#This Row],[Name]],LEN(Table1[[#This Row],[Name]])-SEARCH(" ",Table1[[#This Row],[Name]]))</f>
        <v>Joshi</v>
      </c>
      <c r="E41">
        <v>16</v>
      </c>
      <c r="F41" t="s">
        <v>117</v>
      </c>
      <c r="G41" t="s">
        <v>121</v>
      </c>
      <c r="H41" t="s">
        <v>122</v>
      </c>
      <c r="I41">
        <v>74.7</v>
      </c>
      <c r="J41">
        <v>89.5</v>
      </c>
      <c r="K41" s="1">
        <v>77.2</v>
      </c>
      <c r="L41" s="1">
        <f>Table1[[#This Row],[Final Exam Score]]-Table1[[#This Row],[Midterm Score]]</f>
        <v>-2.1000000000000085</v>
      </c>
      <c r="M41">
        <v>75.099999999999994</v>
      </c>
      <c r="N41" s="1">
        <v>91.2</v>
      </c>
      <c r="O41" s="1">
        <v>7</v>
      </c>
      <c r="P41" s="1">
        <v>2.7</v>
      </c>
      <c r="Q41" t="s">
        <v>126</v>
      </c>
      <c r="R41" s="1" t="s">
        <v>134</v>
      </c>
      <c r="S41" s="1" t="s">
        <v>138</v>
      </c>
      <c r="T41">
        <f>Table1[[#This Row],[Assignments Avg]]*0.1+Table1[[#This Row],[Midterm Score]]*0.3+Table1[[#This Row],[Final Exam Score]]*0.45+Table1[[#This Row],[Project Score]]*0.1</f>
        <v>75.025000000000006</v>
      </c>
      <c r="U41" t="str">
        <f>IF(Table1[[#This Row],[Final Score]]&gt;=80,"A",IF(Table1[[#This Row],[Final Score]]&gt;=70,"B",IF(Table1[[#This Row],[Final Score]]&gt;=60,"C",IF(Table1[[#This Row],[Final Score]]&gt;=50,"D","F"))))</f>
        <v>B</v>
      </c>
      <c r="V41" t="str">
        <f>IF(Table1[[#This Row],[Final Score]]&gt;=40,"Pass","Fail")</f>
        <v>Pass</v>
      </c>
      <c r="W41" t="str">
        <f>IF(OR(Table1[[#This Row],[Attendance]]&lt;75,Table1[[#This Row],[Final Score]]&lt;45),"At-risk","Ok")</f>
        <v>At-risk</v>
      </c>
      <c r="X41" s="5" t="str">
        <f>IF(Table1[[#This Row],[Study Hours]]&lt;2,"Low Study","Normal")</f>
        <v>Normal</v>
      </c>
    </row>
    <row r="42" spans="1:26" x14ac:dyDescent="0.3">
      <c r="A42" t="s">
        <v>59</v>
      </c>
      <c r="B42" t="s">
        <v>108</v>
      </c>
      <c r="C42" t="str">
        <f>LEFT(Table1[[#This Row],[Name]],SEARCH(" ",Table1[[#This Row],[Name]])-1)</f>
        <v>Aditya</v>
      </c>
      <c r="D42" t="str">
        <f>RIGHT(Table1[[#This Row],[Name]],LEN(Table1[[#This Row],[Name]])-SEARCH(" ",Table1[[#This Row],[Name]]))</f>
        <v>Chavan</v>
      </c>
      <c r="E42">
        <v>16</v>
      </c>
      <c r="F42" t="s">
        <v>118</v>
      </c>
      <c r="G42" t="s">
        <v>120</v>
      </c>
      <c r="H42" t="s">
        <v>123</v>
      </c>
      <c r="I42">
        <v>67.3</v>
      </c>
      <c r="J42">
        <v>68.900000000000006</v>
      </c>
      <c r="K42" s="1">
        <v>36.5</v>
      </c>
      <c r="L42" s="1">
        <f>Table1[[#This Row],[Final Exam Score]]-Table1[[#This Row],[Midterm Score]]</f>
        <v>29.900000000000006</v>
      </c>
      <c r="M42">
        <v>66.400000000000006</v>
      </c>
      <c r="N42" s="1">
        <v>91.7</v>
      </c>
      <c r="O42" s="1">
        <v>9</v>
      </c>
      <c r="P42" s="1">
        <v>3</v>
      </c>
      <c r="Q42" t="s">
        <v>129</v>
      </c>
      <c r="R42" s="1" t="s">
        <v>132</v>
      </c>
      <c r="S42" s="1" t="s">
        <v>136</v>
      </c>
      <c r="T42">
        <f>Table1[[#This Row],[Assignments Avg]]*0.1+Table1[[#This Row],[Midterm Score]]*0.3+Table1[[#This Row],[Final Exam Score]]*0.45+Table1[[#This Row],[Project Score]]*0.1</f>
        <v>56.89</v>
      </c>
      <c r="U42" t="str">
        <f>IF(Table1[[#This Row],[Final Score]]&gt;=80,"A",IF(Table1[[#This Row],[Final Score]]&gt;=70,"B",IF(Table1[[#This Row],[Final Score]]&gt;=60,"C",IF(Table1[[#This Row],[Final Score]]&gt;=50,"D","F"))))</f>
        <v>D</v>
      </c>
      <c r="V42" t="str">
        <f>IF(Table1[[#This Row],[Final Score]]&gt;=40,"Pass","Fail")</f>
        <v>Pass</v>
      </c>
      <c r="W42" t="str">
        <f>IF(OR(Table1[[#This Row],[Attendance]]&lt;75,Table1[[#This Row],[Final Score]]&lt;45),"At-risk","Ok")</f>
        <v>At-risk</v>
      </c>
      <c r="X42" s="5" t="str">
        <f>IF(Table1[[#This Row],[Study Hours]]&lt;2,"Low Study","Normal")</f>
        <v>Normal</v>
      </c>
    </row>
    <row r="43" spans="1:26" x14ac:dyDescent="0.3">
      <c r="A43" t="s">
        <v>60</v>
      </c>
      <c r="B43" t="s">
        <v>109</v>
      </c>
      <c r="C43" t="str">
        <f>LEFT(Table1[[#This Row],[Name]],SEARCH(" ",Table1[[#This Row],[Name]])-1)</f>
        <v>Kavya</v>
      </c>
      <c r="D43" t="str">
        <f>RIGHT(Table1[[#This Row],[Name]],LEN(Table1[[#This Row],[Name]])-SEARCH(" ",Table1[[#This Row],[Name]]))</f>
        <v>Shinde</v>
      </c>
      <c r="E43">
        <v>15</v>
      </c>
      <c r="F43" t="s">
        <v>117</v>
      </c>
      <c r="G43" t="s">
        <v>120</v>
      </c>
      <c r="H43" t="s">
        <v>124</v>
      </c>
      <c r="I43">
        <v>54.5</v>
      </c>
      <c r="J43">
        <v>36.5</v>
      </c>
      <c r="K43" s="1">
        <v>29.8</v>
      </c>
      <c r="L43" s="1">
        <f>Table1[[#This Row],[Final Exam Score]]-Table1[[#This Row],[Midterm Score]]</f>
        <v>58</v>
      </c>
      <c r="M43" s="1">
        <v>87.8</v>
      </c>
      <c r="N43" s="1">
        <v>44.5</v>
      </c>
      <c r="O43" s="1">
        <v>6</v>
      </c>
      <c r="P43" s="1">
        <v>1.5</v>
      </c>
      <c r="Q43" t="s">
        <v>129</v>
      </c>
      <c r="R43" s="1" t="s">
        <v>131</v>
      </c>
      <c r="S43" s="1" t="s">
        <v>137</v>
      </c>
      <c r="T43">
        <f>Table1[[#This Row],[Assignments Avg]]*0.1+Table1[[#This Row],[Midterm Score]]*0.3+Table1[[#This Row],[Final Exam Score]]*0.45+Table1[[#This Row],[Project Score]]*0.1</f>
        <v>56.55</v>
      </c>
      <c r="U43" t="str">
        <f>IF(Table1[[#This Row],[Final Score]]&gt;=80,"A",IF(Table1[[#This Row],[Final Score]]&gt;=70,"B",IF(Table1[[#This Row],[Final Score]]&gt;=60,"C",IF(Table1[[#This Row],[Final Score]]&gt;=50,"D","F"))))</f>
        <v>D</v>
      </c>
      <c r="V43" t="str">
        <f>IF(Table1[[#This Row],[Final Score]]&gt;=40,"Pass","Fail")</f>
        <v>Pass</v>
      </c>
      <c r="W43" t="str">
        <f>IF(OR(Table1[[#This Row],[Attendance]]&lt;75,Table1[[#This Row],[Final Score]]&lt;45),"At-risk","Ok")</f>
        <v>At-risk</v>
      </c>
      <c r="X43" s="5" t="str">
        <f>IF(Table1[[#This Row],[Study Hours]]&lt;2,"Low Study","Normal")</f>
        <v>Low Study</v>
      </c>
    </row>
    <row r="44" spans="1:26" x14ac:dyDescent="0.3">
      <c r="A44" t="s">
        <v>61</v>
      </c>
      <c r="B44" t="s">
        <v>110</v>
      </c>
      <c r="C44" t="str">
        <f>LEFT(Table1[[#This Row],[Name]],SEARCH(" ",Table1[[#This Row],[Name]])-1)</f>
        <v>Neha</v>
      </c>
      <c r="D44" t="str">
        <f>RIGHT(Table1[[#This Row],[Name]],LEN(Table1[[#This Row],[Name]])-SEARCH(" ",Table1[[#This Row],[Name]]))</f>
        <v>Rane</v>
      </c>
      <c r="E44">
        <v>17</v>
      </c>
      <c r="F44" t="s">
        <v>117</v>
      </c>
      <c r="G44" t="s">
        <v>121</v>
      </c>
      <c r="H44" t="s">
        <v>122</v>
      </c>
      <c r="I44">
        <v>68.3</v>
      </c>
      <c r="J44">
        <v>83.8</v>
      </c>
      <c r="K44">
        <v>70</v>
      </c>
      <c r="L44">
        <f>Table1[[#This Row],[Final Exam Score]]-Table1[[#This Row],[Midterm Score]]</f>
        <v>16.700000000000003</v>
      </c>
      <c r="M44">
        <v>86.7</v>
      </c>
      <c r="N44" s="1">
        <v>82.8</v>
      </c>
      <c r="O44" s="1">
        <v>4</v>
      </c>
      <c r="P44" s="1">
        <v>4.9000000000000004</v>
      </c>
      <c r="Q44" t="s">
        <v>125</v>
      </c>
      <c r="R44" s="1" t="s">
        <v>132</v>
      </c>
      <c r="S44" s="1" t="s">
        <v>136</v>
      </c>
      <c r="T44">
        <f>Table1[[#This Row],[Assignments Avg]]*0.1+Table1[[#This Row],[Midterm Score]]*0.3+Table1[[#This Row],[Final Exam Score]]*0.45+Table1[[#This Row],[Project Score]]*0.1</f>
        <v>76.675000000000011</v>
      </c>
      <c r="U44" t="str">
        <f>IF(Table1[[#This Row],[Final Score]]&gt;=80,"A",IF(Table1[[#This Row],[Final Score]]&gt;=70,"B",IF(Table1[[#This Row],[Final Score]]&gt;=60,"C",IF(Table1[[#This Row],[Final Score]]&gt;=50,"D","F"))))</f>
        <v>B</v>
      </c>
      <c r="V44" t="str">
        <f>IF(Table1[[#This Row],[Final Score]]&gt;=40,"Pass","Fail")</f>
        <v>Pass</v>
      </c>
      <c r="W44" t="str">
        <f>IF(OR(Table1[[#This Row],[Attendance]]&lt;75,Table1[[#This Row],[Final Score]]&lt;45),"At-risk","Ok")</f>
        <v>At-risk</v>
      </c>
      <c r="X44" s="5" t="str">
        <f>IF(Table1[[#This Row],[Study Hours]]&lt;2,"Low Study","Normal")</f>
        <v>Normal</v>
      </c>
    </row>
    <row r="45" spans="1:26" x14ac:dyDescent="0.3">
      <c r="A45" t="s">
        <v>62</v>
      </c>
      <c r="B45" t="s">
        <v>111</v>
      </c>
      <c r="C45" t="str">
        <f>LEFT(Table1[[#This Row],[Name]],SEARCH(" ",Table1[[#This Row],[Name]])-1)</f>
        <v>Raj</v>
      </c>
      <c r="D45" t="str">
        <f>RIGHT(Table1[[#This Row],[Name]],LEN(Table1[[#This Row],[Name]])-SEARCH(" ",Table1[[#This Row],[Name]]))</f>
        <v>More</v>
      </c>
      <c r="E45">
        <v>15</v>
      </c>
      <c r="F45" t="s">
        <v>118</v>
      </c>
      <c r="G45" t="s">
        <v>121</v>
      </c>
      <c r="H45" t="s">
        <v>123</v>
      </c>
      <c r="I45">
        <v>60.5</v>
      </c>
      <c r="J45">
        <v>75.099999999999994</v>
      </c>
      <c r="K45">
        <v>36.200000000000003</v>
      </c>
      <c r="L45">
        <f>Table1[[#This Row],[Final Exam Score]]-Table1[[#This Row],[Midterm Score]]</f>
        <v>44.099999999999994</v>
      </c>
      <c r="M45">
        <v>80.3</v>
      </c>
      <c r="N45" s="1">
        <v>68.099999999999994</v>
      </c>
      <c r="O45">
        <v>9</v>
      </c>
      <c r="P45" s="1">
        <v>2.6</v>
      </c>
      <c r="Q45" t="s">
        <v>126</v>
      </c>
      <c r="R45" s="1" t="s">
        <v>132</v>
      </c>
      <c r="S45" s="1" t="s">
        <v>137</v>
      </c>
      <c r="T45">
        <f>Table1[[#This Row],[Assignments Avg]]*0.1+Table1[[#This Row],[Midterm Score]]*0.3+Table1[[#This Row],[Final Exam Score]]*0.45+Table1[[#This Row],[Project Score]]*0.1</f>
        <v>61.314999999999998</v>
      </c>
      <c r="U45" t="str">
        <f>IF(Table1[[#This Row],[Final Score]]&gt;=80,"A",IF(Table1[[#This Row],[Final Score]]&gt;=70,"B",IF(Table1[[#This Row],[Final Score]]&gt;=60,"C",IF(Table1[[#This Row],[Final Score]]&gt;=50,"D","F"))))</f>
        <v>C</v>
      </c>
      <c r="V45" t="str">
        <f>IF(Table1[[#This Row],[Final Score]]&gt;=40,"Pass","Fail")</f>
        <v>Pass</v>
      </c>
      <c r="W45" t="str">
        <f>IF(OR(Table1[[#This Row],[Attendance]]&lt;75,Table1[[#This Row],[Final Score]]&lt;45),"At-risk","Ok")</f>
        <v>At-risk</v>
      </c>
      <c r="X45" s="5" t="str">
        <f>IF(Table1[[#This Row],[Study Hours]]&lt;2,"Low Study","Normal")</f>
        <v>Normal</v>
      </c>
    </row>
    <row r="46" spans="1:26" x14ac:dyDescent="0.3">
      <c r="A46" t="s">
        <v>63</v>
      </c>
      <c r="B46" t="s">
        <v>112</v>
      </c>
      <c r="C46" t="str">
        <f>LEFT(Table1[[#This Row],[Name]],SEARCH(" ",Table1[[#This Row],[Name]])-1)</f>
        <v>Neha</v>
      </c>
      <c r="D46" t="str">
        <f>RIGHT(Table1[[#This Row],[Name]],LEN(Table1[[#This Row],[Name]])-SEARCH(" ",Table1[[#This Row],[Name]]))</f>
        <v>Chavan</v>
      </c>
      <c r="E46">
        <v>16</v>
      </c>
      <c r="F46" t="s">
        <v>117</v>
      </c>
      <c r="G46" t="s">
        <v>120</v>
      </c>
      <c r="H46" t="s">
        <v>122</v>
      </c>
      <c r="I46">
        <v>76.5</v>
      </c>
      <c r="J46">
        <v>68.900000000000006</v>
      </c>
      <c r="K46">
        <v>45.8</v>
      </c>
      <c r="L46">
        <f>Table1[[#This Row],[Final Exam Score]]-Table1[[#This Row],[Midterm Score]]</f>
        <v>20.600000000000009</v>
      </c>
      <c r="M46">
        <v>66.400000000000006</v>
      </c>
      <c r="N46" s="1">
        <v>91.2</v>
      </c>
      <c r="O46">
        <v>1</v>
      </c>
      <c r="P46" s="1">
        <v>7.5</v>
      </c>
      <c r="Q46" t="s">
        <v>127</v>
      </c>
      <c r="R46" s="1" t="s">
        <v>133</v>
      </c>
      <c r="S46" s="1" t="s">
        <v>138</v>
      </c>
      <c r="T46">
        <f>Table1[[#This Row],[Assignments Avg]]*0.1+Table1[[#This Row],[Midterm Score]]*0.3+Table1[[#This Row],[Final Exam Score]]*0.45+Table1[[#This Row],[Project Score]]*0.1</f>
        <v>59.63000000000001</v>
      </c>
      <c r="U46" t="str">
        <f>IF(Table1[[#This Row],[Final Score]]&gt;=80,"A",IF(Table1[[#This Row],[Final Score]]&gt;=70,"B",IF(Table1[[#This Row],[Final Score]]&gt;=60,"C",IF(Table1[[#This Row],[Final Score]]&gt;=50,"D","F"))))</f>
        <v>D</v>
      </c>
      <c r="V46" t="str">
        <f>IF(Table1[[#This Row],[Final Score]]&gt;=40,"Pass","Fail")</f>
        <v>Pass</v>
      </c>
      <c r="W46" t="str">
        <f>IF(OR(Table1[[#This Row],[Attendance]]&lt;75,Table1[[#This Row],[Final Score]]&lt;45),"At-risk","Ok")</f>
        <v>Ok</v>
      </c>
      <c r="X46" s="5" t="str">
        <f>IF(Table1[[#This Row],[Study Hours]]&lt;2,"Low Study","Normal")</f>
        <v>Normal</v>
      </c>
    </row>
    <row r="47" spans="1:26" x14ac:dyDescent="0.3">
      <c r="A47" t="s">
        <v>64</v>
      </c>
      <c r="B47" t="s">
        <v>113</v>
      </c>
      <c r="C47" t="str">
        <f>LEFT(Table1[[#This Row],[Name]],SEARCH(" ",Table1[[#This Row],[Name]])-1)</f>
        <v>Pranav</v>
      </c>
      <c r="D47" t="str">
        <f>RIGHT(Table1[[#This Row],[Name]],LEN(Table1[[#This Row],[Name]])-SEARCH(" ",Table1[[#This Row],[Name]]))</f>
        <v>Kulkarni</v>
      </c>
      <c r="E47">
        <v>15</v>
      </c>
      <c r="F47" t="s">
        <v>118</v>
      </c>
      <c r="G47" t="s">
        <v>120</v>
      </c>
      <c r="H47" t="s">
        <v>124</v>
      </c>
      <c r="I47">
        <v>68.2</v>
      </c>
      <c r="J47">
        <v>36.5</v>
      </c>
      <c r="K47">
        <v>25.2</v>
      </c>
      <c r="L47">
        <f>Table1[[#This Row],[Final Exam Score]]-Table1[[#This Row],[Midterm Score]]</f>
        <v>66.599999999999994</v>
      </c>
      <c r="M47">
        <v>91.8</v>
      </c>
      <c r="N47" s="1">
        <v>52.8</v>
      </c>
      <c r="O47">
        <v>8</v>
      </c>
      <c r="P47" s="1">
        <v>4.9000000000000004</v>
      </c>
      <c r="Q47" t="s">
        <v>128</v>
      </c>
      <c r="R47" t="s">
        <v>135</v>
      </c>
      <c r="S47" s="1" t="s">
        <v>136</v>
      </c>
      <c r="T47">
        <f>Table1[[#This Row],[Assignments Avg]]*0.1+Table1[[#This Row],[Midterm Score]]*0.3+Table1[[#This Row],[Final Exam Score]]*0.45+Table1[[#This Row],[Project Score]]*0.1</f>
        <v>57.800000000000004</v>
      </c>
      <c r="U47" t="str">
        <f>IF(Table1[[#This Row],[Final Score]]&gt;=80,"A",IF(Table1[[#This Row],[Final Score]]&gt;=70,"B",IF(Table1[[#This Row],[Final Score]]&gt;=60,"C",IF(Table1[[#This Row],[Final Score]]&gt;=50,"D","F"))))</f>
        <v>D</v>
      </c>
      <c r="V47" t="str">
        <f>IF(Table1[[#This Row],[Final Score]]&gt;=40,"Pass","Fail")</f>
        <v>Pass</v>
      </c>
      <c r="W47" t="str">
        <f>IF(OR(Table1[[#This Row],[Attendance]]&lt;75,Table1[[#This Row],[Final Score]]&lt;45),"At-risk","Ok")</f>
        <v>At-risk</v>
      </c>
      <c r="X47" s="5" t="str">
        <f>IF(Table1[[#This Row],[Study Hours]]&lt;2,"Low Study","Normal")</f>
        <v>Normal</v>
      </c>
    </row>
    <row r="48" spans="1:26" x14ac:dyDescent="0.3">
      <c r="A48" t="s">
        <v>65</v>
      </c>
      <c r="B48" t="s">
        <v>114</v>
      </c>
      <c r="C48" t="str">
        <f>LEFT(Table1[[#This Row],[Name]],SEARCH(" ",Table1[[#This Row],[Name]])-1)</f>
        <v>Vikram</v>
      </c>
      <c r="D48" t="str">
        <f>RIGHT(Table1[[#This Row],[Name]],LEN(Table1[[#This Row],[Name]])-SEARCH(" ",Table1[[#This Row],[Name]]))</f>
        <v>Patil</v>
      </c>
      <c r="E48">
        <v>17</v>
      </c>
      <c r="F48" t="s">
        <v>118</v>
      </c>
      <c r="G48" t="s">
        <v>121</v>
      </c>
      <c r="H48" t="s">
        <v>122</v>
      </c>
      <c r="I48">
        <v>86.7</v>
      </c>
      <c r="J48">
        <v>79.900000000000006</v>
      </c>
      <c r="K48">
        <v>87.4</v>
      </c>
      <c r="L48">
        <f>Table1[[#This Row],[Final Exam Score]]-Table1[[#This Row],[Midterm Score]]</f>
        <v>-16.100000000000009</v>
      </c>
      <c r="M48">
        <v>71.3</v>
      </c>
      <c r="N48" s="1">
        <v>69.599999999999994</v>
      </c>
      <c r="O48">
        <v>1</v>
      </c>
      <c r="P48" s="1">
        <v>6.6</v>
      </c>
      <c r="Q48" t="s">
        <v>126</v>
      </c>
      <c r="R48" s="1" t="s">
        <v>131</v>
      </c>
      <c r="S48" s="1" t="s">
        <v>137</v>
      </c>
      <c r="T48">
        <f>Table1[[#This Row],[Assignments Avg]]*0.1+Table1[[#This Row],[Midterm Score]]*0.3+Table1[[#This Row],[Final Exam Score]]*0.45+Table1[[#This Row],[Project Score]]*0.1</f>
        <v>73.254999999999995</v>
      </c>
      <c r="U48" t="str">
        <f>IF(Table1[[#This Row],[Final Score]]&gt;=80,"A",IF(Table1[[#This Row],[Final Score]]&gt;=70,"B",IF(Table1[[#This Row],[Final Score]]&gt;=60,"C",IF(Table1[[#This Row],[Final Score]]&gt;=50,"D","F"))))</f>
        <v>B</v>
      </c>
      <c r="V48" t="str">
        <f>IF(Table1[[#This Row],[Final Score]]&gt;=40,"Pass","Fail")</f>
        <v>Pass</v>
      </c>
      <c r="W48" t="str">
        <f>IF(OR(Table1[[#This Row],[Attendance]]&lt;75,Table1[[#This Row],[Final Score]]&lt;45),"At-risk","Ok")</f>
        <v>Ok</v>
      </c>
      <c r="X48" s="5" t="str">
        <f>IF(Table1[[#This Row],[Study Hours]]&lt;2,"Low Study","Normal")</f>
        <v>Normal</v>
      </c>
    </row>
    <row r="49" spans="1:24" x14ac:dyDescent="0.3">
      <c r="A49" t="s">
        <v>66</v>
      </c>
      <c r="B49" t="s">
        <v>115</v>
      </c>
      <c r="C49" t="str">
        <f>LEFT(Table1[[#This Row],[Name]],SEARCH(" ",Table1[[#This Row],[Name]])-1)</f>
        <v>Kriti</v>
      </c>
      <c r="D49" t="str">
        <f>RIGHT(Table1[[#This Row],[Name]],LEN(Table1[[#This Row],[Name]])-SEARCH(" ",Table1[[#This Row],[Name]]))</f>
        <v>Rane</v>
      </c>
      <c r="E49">
        <v>16</v>
      </c>
      <c r="F49" t="s">
        <v>117</v>
      </c>
      <c r="G49" t="s">
        <v>121</v>
      </c>
      <c r="H49" t="s">
        <v>123</v>
      </c>
      <c r="I49">
        <v>89.5</v>
      </c>
      <c r="J49">
        <v>68.900000000000006</v>
      </c>
      <c r="K49">
        <v>76.5</v>
      </c>
      <c r="L49">
        <f>Table1[[#This Row],[Final Exam Score]]-Table1[[#This Row],[Midterm Score]]</f>
        <v>0</v>
      </c>
      <c r="M49">
        <v>76.5</v>
      </c>
      <c r="N49" s="1">
        <v>67</v>
      </c>
      <c r="O49">
        <v>7</v>
      </c>
      <c r="P49" s="1">
        <v>1.6</v>
      </c>
      <c r="Q49" t="s">
        <v>129</v>
      </c>
      <c r="R49" s="1" t="s">
        <v>134</v>
      </c>
      <c r="S49" s="1" t="s">
        <v>138</v>
      </c>
      <c r="T49">
        <f>Table1[[#This Row],[Assignments Avg]]*0.1+Table1[[#This Row],[Midterm Score]]*0.3+Table1[[#This Row],[Final Exam Score]]*0.45+Table1[[#This Row],[Project Score]]*0.1</f>
        <v>70.965000000000003</v>
      </c>
      <c r="U49" t="str">
        <f>IF(Table1[[#This Row],[Final Score]]&gt;=80,"A",IF(Table1[[#This Row],[Final Score]]&gt;=70,"B",IF(Table1[[#This Row],[Final Score]]&gt;=60,"C",IF(Table1[[#This Row],[Final Score]]&gt;=50,"D","F"))))</f>
        <v>B</v>
      </c>
      <c r="V49" t="str">
        <f>IF(Table1[[#This Row],[Final Score]]&gt;=40,"Pass","Fail")</f>
        <v>Pass</v>
      </c>
      <c r="W49" t="str">
        <f>IF(OR(Table1[[#This Row],[Attendance]]&lt;75,Table1[[#This Row],[Final Score]]&lt;45),"At-risk","Ok")</f>
        <v>Ok</v>
      </c>
      <c r="X49" s="5" t="str">
        <f>IF(Table1[[#This Row],[Study Hours]]&lt;2,"Low Study","Normal")</f>
        <v>Low Study</v>
      </c>
    </row>
    <row r="50" spans="1:24" x14ac:dyDescent="0.3">
      <c r="A50" t="s">
        <v>67</v>
      </c>
      <c r="B50" t="s">
        <v>78</v>
      </c>
      <c r="C50" t="str">
        <f>LEFT(Table1[[#This Row],[Name]],SEARCH(" ",Table1[[#This Row],[Name]])-1)</f>
        <v>Aditya</v>
      </c>
      <c r="D50" t="str">
        <f>RIGHT(Table1[[#This Row],[Name]],LEN(Table1[[#This Row],[Name]])-SEARCH(" ",Table1[[#This Row],[Name]]))</f>
        <v>Thakur</v>
      </c>
      <c r="E50">
        <v>15</v>
      </c>
      <c r="F50" t="s">
        <v>118</v>
      </c>
      <c r="G50" t="s">
        <v>120</v>
      </c>
      <c r="H50" t="s">
        <v>124</v>
      </c>
      <c r="I50">
        <v>86.7</v>
      </c>
      <c r="J50">
        <v>83.8</v>
      </c>
      <c r="K50">
        <v>85</v>
      </c>
      <c r="L50">
        <f>Table1[[#This Row],[Final Exam Score]]-Table1[[#This Row],[Midterm Score]]</f>
        <v>7</v>
      </c>
      <c r="M50">
        <v>92</v>
      </c>
      <c r="N50" s="1">
        <v>80.2</v>
      </c>
      <c r="O50">
        <v>2</v>
      </c>
      <c r="P50" s="1">
        <v>7.6</v>
      </c>
      <c r="Q50" t="s">
        <v>129</v>
      </c>
      <c r="R50" s="1" t="s">
        <v>131</v>
      </c>
      <c r="S50" s="1" t="s">
        <v>138</v>
      </c>
      <c r="T50">
        <f>Table1[[#This Row],[Assignments Avg]]*0.1+Table1[[#This Row],[Midterm Score]]*0.3+Table1[[#This Row],[Final Exam Score]]*0.45+Table1[[#This Row],[Project Score]]*0.1</f>
        <v>83.3</v>
      </c>
      <c r="U50" t="str">
        <f>IF(Table1[[#This Row],[Final Score]]&gt;=80,"A",IF(Table1[[#This Row],[Final Score]]&gt;=70,"B",IF(Table1[[#This Row],[Final Score]]&gt;=60,"C",IF(Table1[[#This Row],[Final Score]]&gt;=50,"D","F"))))</f>
        <v>A</v>
      </c>
      <c r="V50" t="str">
        <f>IF(Table1[[#This Row],[Final Score]]&gt;=40,"Pass","Fail")</f>
        <v>Pass</v>
      </c>
      <c r="W50" t="str">
        <f>IF(OR(Table1[[#This Row],[Attendance]]&lt;75,Table1[[#This Row],[Final Score]]&lt;45),"At-risk","Ok")</f>
        <v>Ok</v>
      </c>
      <c r="X50" s="5" t="str">
        <f>IF(Table1[[#This Row],[Study Hours]]&lt;2,"Low Study","Normal")</f>
        <v>Normal</v>
      </c>
    </row>
    <row r="51" spans="1:24" x14ac:dyDescent="0.3">
      <c r="A51" t="s">
        <v>68</v>
      </c>
      <c r="B51" t="s">
        <v>116</v>
      </c>
      <c r="C51" t="str">
        <f>LEFT(Table1[[#This Row],[Name]],SEARCH(" ",Table1[[#This Row],[Name]])-1)</f>
        <v>Suresh</v>
      </c>
      <c r="D51" t="str">
        <f>RIGHT(Table1[[#This Row],[Name]],LEN(Table1[[#This Row],[Name]])-SEARCH(" ",Table1[[#This Row],[Name]]))</f>
        <v>Sharma</v>
      </c>
      <c r="E51">
        <v>17</v>
      </c>
      <c r="F51" t="s">
        <v>118</v>
      </c>
      <c r="G51" t="s">
        <v>120</v>
      </c>
      <c r="H51" t="s">
        <v>122</v>
      </c>
      <c r="I51">
        <v>89.5</v>
      </c>
      <c r="J51">
        <v>66.400000000000006</v>
      </c>
      <c r="K51">
        <v>92.2</v>
      </c>
      <c r="L51">
        <f>Table1[[#This Row],[Final Exam Score]]-Table1[[#This Row],[Midterm Score]]</f>
        <v>-15.299999999999997</v>
      </c>
      <c r="M51" s="1">
        <v>76.900000000000006</v>
      </c>
      <c r="N51" s="1">
        <v>91.2</v>
      </c>
      <c r="O51">
        <v>1</v>
      </c>
      <c r="P51" s="1">
        <v>4.9000000000000004</v>
      </c>
      <c r="Q51" t="s">
        <v>125</v>
      </c>
      <c r="R51" s="1" t="s">
        <v>131</v>
      </c>
      <c r="S51" s="1" t="s">
        <v>136</v>
      </c>
      <c r="T51">
        <f>Table1[[#This Row],[Assignments Avg]]*0.1+Table1[[#This Row],[Midterm Score]]*0.3+Table1[[#This Row],[Final Exam Score]]*0.45+Table1[[#This Row],[Project Score]]*0.1</f>
        <v>78.025000000000006</v>
      </c>
      <c r="U51" t="str">
        <f>IF(Table1[[#This Row],[Final Score]]&gt;=80,"A",IF(Table1[[#This Row],[Final Score]]&gt;=70,"B",IF(Table1[[#This Row],[Final Score]]&gt;=60,"C",IF(Table1[[#This Row],[Final Score]]&gt;=50,"D","F"))))</f>
        <v>B</v>
      </c>
      <c r="V51" t="str">
        <f>IF(Table1[[#This Row],[Final Score]]&gt;=40,"Pass","Fail")</f>
        <v>Pass</v>
      </c>
      <c r="W51" t="str">
        <f>IF(OR(Table1[[#This Row],[Attendance]]&lt;75,Table1[[#This Row],[Final Score]]&lt;45),"At-risk","Ok")</f>
        <v>Ok</v>
      </c>
      <c r="X51" s="5" t="str">
        <f>IF(Table1[[#This Row],[Study Hours]]&lt;2,"Low Study","Normal")</f>
        <v>Normal</v>
      </c>
    </row>
    <row r="53" spans="1:24" x14ac:dyDescent="0.3">
      <c r="F53">
        <f>COUNTIF(Table1[Gender],"Male")</f>
        <v>30</v>
      </c>
      <c r="G53">
        <f>AVERAGEIF(Table1[Class],"10th",Table1[Final Score])</f>
        <v>65.205833333333345</v>
      </c>
      <c r="T53">
        <f>MAX(Table1[Final Score])</f>
        <v>85.925000000000011</v>
      </c>
      <c r="V53">
        <f>COUNTIF(Table1[Result],"Pass")</f>
        <v>49</v>
      </c>
    </row>
    <row r="54" spans="1:24" x14ac:dyDescent="0.3">
      <c r="T54">
        <f>MIN(Table1[Final Score])</f>
        <v>31.96</v>
      </c>
    </row>
  </sheetData>
  <dataConsolidate/>
  <phoneticPr fontId="1" type="noConversion"/>
  <conditionalFormatting sqref="I2:I51">
    <cfRule type="cellIs" dxfId="1" priority="1" operator="lessThan">
      <formula>75</formula>
    </cfRule>
  </conditionalFormatting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44D7-C451-4D28-842F-9526505249D9}">
  <dimension ref="A18:B25"/>
  <sheetViews>
    <sheetView topLeftCell="A10" workbookViewId="0">
      <selection activeCell="B26" sqref="B26"/>
    </sheetView>
  </sheetViews>
  <sheetFormatPr defaultRowHeight="14.4" x14ac:dyDescent="0.3"/>
  <cols>
    <col min="1" max="1" width="20.21875" bestFit="1" customWidth="1"/>
  </cols>
  <sheetData>
    <row r="18" spans="1:2" x14ac:dyDescent="0.3">
      <c r="A18" s="4" t="s">
        <v>151</v>
      </c>
      <c r="B18">
        <f>AVERAGE(StudentData!T2:T51)</f>
        <v>66.041800000000038</v>
      </c>
    </row>
    <row r="19" spans="1:2" x14ac:dyDescent="0.3">
      <c r="A19" s="4" t="s">
        <v>152</v>
      </c>
      <c r="B19">
        <f>COUNTIF(StudentData!W2:W51,"At-Risk")</f>
        <v>26</v>
      </c>
    </row>
    <row r="21" spans="1:2" x14ac:dyDescent="0.3">
      <c r="A21" s="4" t="s">
        <v>158</v>
      </c>
      <c r="B21">
        <f>LARGE(StudentData!T:T,1)</f>
        <v>85.925000000000011</v>
      </c>
    </row>
    <row r="22" spans="1:2" x14ac:dyDescent="0.3">
      <c r="B22">
        <f>LARGE(StudentData!T:T,2)</f>
        <v>85.925000000000011</v>
      </c>
    </row>
    <row r="23" spans="1:2" x14ac:dyDescent="0.3">
      <c r="B23">
        <f>LARGE(StudentData!T:T,3)</f>
        <v>83.3</v>
      </c>
    </row>
    <row r="24" spans="1:2" x14ac:dyDescent="0.3">
      <c r="B24">
        <f>LARGE(StudentData!T:T,4)</f>
        <v>82.3</v>
      </c>
    </row>
    <row r="25" spans="1:2" x14ac:dyDescent="0.3">
      <c r="B25">
        <f>LARGE(StudentData!T:T,5)</f>
        <v>81.245000000000005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hake</dc:creator>
  <cp:lastModifiedBy>somnath hake</cp:lastModifiedBy>
  <dcterms:created xsi:type="dcterms:W3CDTF">2026-09-24T09:12:37Z</dcterms:created>
  <dcterms:modified xsi:type="dcterms:W3CDTF">2026-09-28T08:38:20Z</dcterms:modified>
</cp:coreProperties>
</file>